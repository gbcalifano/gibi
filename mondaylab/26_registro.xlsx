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84E1A4D8-2BA0-D946-AD03-D8AB09E0CE52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45" i="1"/>
  <c r="S43" i="1"/>
  <c r="S44" i="1"/>
  <c r="R46" i="1"/>
  <c r="R45" i="1"/>
  <c r="R43" i="1"/>
  <c r="R44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4" i="1"/>
  <c r="R5" i="1"/>
  <c r="R6" i="1"/>
  <c r="R7" i="1"/>
  <c r="R8" i="1"/>
  <c r="R9" i="1"/>
  <c r="S3" i="1"/>
  <c r="R3" i="1"/>
  <c r="S53" i="1"/>
  <c r="S63" i="1"/>
  <c r="S32" i="1"/>
  <c r="S52" i="1"/>
  <c r="S31" i="1"/>
  <c r="S62" i="1"/>
  <c r="S42" i="1"/>
  <c r="S41" i="1"/>
  <c r="S38" i="1"/>
  <c r="S61" i="1"/>
  <c r="S26" i="1"/>
  <c r="S51" i="1"/>
  <c r="S25" i="1"/>
  <c r="S30" i="1"/>
  <c r="S40" i="1"/>
  <c r="S24" i="1"/>
  <c r="S29" i="1"/>
  <c r="S28" i="1"/>
  <c r="S60" i="1"/>
  <c r="S23" i="1"/>
  <c r="S22" i="1"/>
  <c r="S59" i="1"/>
  <c r="S27" i="1"/>
  <c r="S39" i="1"/>
  <c r="S58" i="1"/>
  <c r="S37" i="1"/>
  <c r="S57" i="1"/>
  <c r="S50" i="1"/>
  <c r="S36" i="1"/>
  <c r="S56" i="1"/>
  <c r="S35" i="1"/>
  <c r="S55" i="1"/>
  <c r="S49" i="1"/>
  <c r="S48" i="1"/>
  <c r="S47" i="1"/>
  <c r="S21" i="1"/>
  <c r="S20" i="1"/>
  <c r="S34" i="1"/>
  <c r="S19" i="1"/>
  <c r="S33" i="1"/>
  <c r="S18" i="1"/>
  <c r="S17" i="1"/>
  <c r="S54" i="1"/>
</calcChain>
</file>

<file path=xl/sharedStrings.xml><?xml version="1.0" encoding="utf-8"?>
<sst xmlns="http://schemas.openxmlformats.org/spreadsheetml/2006/main" count="223" uniqueCount="151">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</sst>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0" fillId="0" borderId="0" xfId="0"/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24.457464467596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NonDate="0" containsString="0" containsBlank="1"/>
    </cacheField>
    <cacheField name="L4 XP" numFmtId="0">
      <sharedItems containsNonDate="0" containsString="0" containsBlank="1"/>
    </cacheField>
    <cacheField name="L5 Presenza" numFmtId="0">
      <sharedItems containsNonDate="0" containsString="0" containsBlank="1"/>
    </cacheField>
    <cacheField name="L5 XP" numFmtId="0">
      <sharedItems containsNonDate="0" containsString="0" containsBlank="1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14285714285714285" maxValue="0.42857142857142855"/>
    </cacheField>
    <cacheField name="XP" numFmtId="0">
      <sharedItems containsSemiMixedTypes="0" containsString="0" containsNumber="1" containsInteger="1" minValue="45" maxValue="2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m/>
    <m/>
    <m/>
    <m/>
    <m/>
    <m/>
    <m/>
    <m/>
    <n v="0.42857142857142855"/>
    <n v="95"/>
  </r>
  <r>
    <s v="Cofano"/>
    <s v="Camilla"/>
    <x v="0"/>
    <n v="1"/>
    <n v="50"/>
    <n v="1"/>
    <n v="15"/>
    <n v="1"/>
    <n v="30"/>
    <m/>
    <m/>
    <m/>
    <m/>
    <m/>
    <m/>
    <m/>
    <m/>
    <n v="0.42857142857142855"/>
    <n v="95"/>
  </r>
  <r>
    <s v="Curto"/>
    <s v="Italo"/>
    <x v="0"/>
    <n v="1"/>
    <n v="50"/>
    <n v="1"/>
    <n v="15"/>
    <n v="1"/>
    <n v="30"/>
    <m/>
    <m/>
    <m/>
    <m/>
    <m/>
    <m/>
    <m/>
    <m/>
    <n v="0.42857142857142855"/>
    <n v="95"/>
  </r>
  <r>
    <s v="Robustelli"/>
    <s v="Antonietta"/>
    <x v="0"/>
    <n v="1"/>
    <n v="50"/>
    <n v="1"/>
    <n v="15"/>
    <n v="1"/>
    <n v="30"/>
    <m/>
    <m/>
    <m/>
    <m/>
    <m/>
    <m/>
    <m/>
    <m/>
    <n v="0.42857142857142855"/>
    <n v="95"/>
  </r>
  <r>
    <s v="Sorvillo"/>
    <s v="Antonio Miranda"/>
    <x v="0"/>
    <n v="1"/>
    <n v="50"/>
    <n v="1"/>
    <n v="15"/>
    <n v="0"/>
    <n v="30"/>
    <m/>
    <m/>
    <m/>
    <m/>
    <m/>
    <m/>
    <m/>
    <m/>
    <n v="0.2857142857142857"/>
    <n v="95"/>
  </r>
  <r>
    <s v="Tarallo"/>
    <s v="Emmanuele"/>
    <x v="0"/>
    <n v="1"/>
    <n v="50"/>
    <n v="1"/>
    <n v="15"/>
    <n v="1"/>
    <n v="30"/>
    <m/>
    <m/>
    <m/>
    <m/>
    <m/>
    <m/>
    <m/>
    <m/>
    <n v="0.42857142857142855"/>
    <n v="95"/>
  </r>
  <r>
    <s v="Valentino"/>
    <s v="Luigi"/>
    <x v="0"/>
    <n v="1"/>
    <n v="50"/>
    <n v="1"/>
    <n v="15"/>
    <n v="1"/>
    <n v="30"/>
    <m/>
    <m/>
    <m/>
    <m/>
    <m/>
    <m/>
    <m/>
    <m/>
    <n v="0.42857142857142855"/>
    <n v="95"/>
  </r>
  <r>
    <s v="Cuomo"/>
    <s v="Davide"/>
    <x v="1"/>
    <n v="1"/>
    <n v="50"/>
    <n v="1"/>
    <n v="0"/>
    <n v="1"/>
    <n v="0"/>
    <m/>
    <m/>
    <m/>
    <m/>
    <m/>
    <m/>
    <m/>
    <m/>
    <n v="0.42857142857142855"/>
    <n v="50"/>
  </r>
  <r>
    <s v="Ercolano"/>
    <s v="Anna"/>
    <x v="1"/>
    <n v="1"/>
    <n v="50"/>
    <n v="1"/>
    <n v="0"/>
    <n v="1"/>
    <n v="0"/>
    <m/>
    <m/>
    <m/>
    <m/>
    <m/>
    <m/>
    <m/>
    <m/>
    <n v="0.42857142857142855"/>
    <n v="50"/>
  </r>
  <r>
    <s v="Forte"/>
    <s v="Giusi"/>
    <x v="1"/>
    <n v="1"/>
    <n v="50"/>
    <n v="0"/>
    <n v="0"/>
    <n v="1"/>
    <n v="0"/>
    <m/>
    <m/>
    <m/>
    <m/>
    <m/>
    <m/>
    <m/>
    <m/>
    <n v="0.2857142857142857"/>
    <n v="50"/>
  </r>
  <r>
    <s v="Gallo"/>
    <s v="Francesca"/>
    <x v="1"/>
    <n v="1"/>
    <n v="50"/>
    <n v="0"/>
    <n v="0"/>
    <n v="1"/>
    <n v="0"/>
    <m/>
    <m/>
    <m/>
    <m/>
    <m/>
    <m/>
    <m/>
    <m/>
    <n v="0.2857142857142857"/>
    <n v="50"/>
  </r>
  <r>
    <s v="Paone"/>
    <s v="Davide"/>
    <x v="1"/>
    <n v="1"/>
    <n v="50"/>
    <n v="1"/>
    <n v="0"/>
    <n v="1"/>
    <n v="0"/>
    <m/>
    <m/>
    <m/>
    <m/>
    <m/>
    <m/>
    <m/>
    <m/>
    <n v="0.42857142857142855"/>
    <n v="50"/>
  </r>
  <r>
    <s v="Petrone"/>
    <s v="Claudia"/>
    <x v="1"/>
    <n v="1"/>
    <n v="50"/>
    <n v="1"/>
    <n v="0"/>
    <n v="0"/>
    <n v="0"/>
    <m/>
    <m/>
    <m/>
    <m/>
    <m/>
    <m/>
    <m/>
    <m/>
    <n v="0.2857142857142857"/>
    <n v="50"/>
  </r>
  <r>
    <s v="Preteverde"/>
    <s v="Simona"/>
    <x v="1"/>
    <n v="1"/>
    <n v="50"/>
    <n v="1"/>
    <n v="0"/>
    <n v="1"/>
    <n v="0"/>
    <m/>
    <m/>
    <m/>
    <m/>
    <m/>
    <m/>
    <m/>
    <m/>
    <n v="0.42857142857142855"/>
    <n v="50"/>
  </r>
  <r>
    <s v="Baudrand"/>
    <s v="Iris"/>
    <x v="2"/>
    <n v="1"/>
    <n v="50"/>
    <n v="1"/>
    <n v="115"/>
    <n v="1"/>
    <n v="50"/>
    <m/>
    <m/>
    <m/>
    <m/>
    <m/>
    <m/>
    <m/>
    <m/>
    <n v="0.42857142857142855"/>
    <n v="215"/>
  </r>
  <r>
    <s v="Borreca"/>
    <s v="Paolo"/>
    <x v="2"/>
    <n v="1"/>
    <n v="50"/>
    <n v="1"/>
    <n v="115"/>
    <n v="1"/>
    <n v="50"/>
    <m/>
    <m/>
    <m/>
    <m/>
    <m/>
    <m/>
    <m/>
    <m/>
    <n v="0.42857142857142855"/>
    <n v="215"/>
  </r>
  <r>
    <s v="Borrione"/>
    <s v="Carlotta"/>
    <x v="2"/>
    <n v="1"/>
    <n v="50"/>
    <n v="1"/>
    <n v="115"/>
    <n v="1"/>
    <n v="50"/>
    <m/>
    <m/>
    <m/>
    <m/>
    <m/>
    <m/>
    <m/>
    <m/>
    <n v="0.42857142857142855"/>
    <n v="215"/>
  </r>
  <r>
    <s v="Cappelluccio"/>
    <s v="Mario"/>
    <x v="2"/>
    <n v="1"/>
    <n v="50"/>
    <n v="1"/>
    <n v="115"/>
    <n v="1"/>
    <n v="50"/>
    <m/>
    <m/>
    <m/>
    <m/>
    <m/>
    <m/>
    <m/>
    <m/>
    <n v="0.42857142857142855"/>
    <n v="215"/>
  </r>
  <r>
    <s v="Casale"/>
    <s v="Alessandro"/>
    <x v="2"/>
    <n v="1"/>
    <n v="50"/>
    <n v="1"/>
    <n v="115"/>
    <n v="0"/>
    <n v="50"/>
    <m/>
    <m/>
    <m/>
    <m/>
    <m/>
    <m/>
    <m/>
    <m/>
    <n v="0.2857142857142857"/>
    <n v="215"/>
  </r>
  <r>
    <s v="Marrazzo"/>
    <s v="Alessia"/>
    <x v="2"/>
    <n v="1"/>
    <n v="50"/>
    <n v="0"/>
    <n v="115"/>
    <n v="1"/>
    <n v="50"/>
    <m/>
    <m/>
    <m/>
    <m/>
    <m/>
    <m/>
    <m/>
    <m/>
    <n v="0.2857142857142857"/>
    <n v="215"/>
  </r>
  <r>
    <s v="Miles"/>
    <s v="Eva"/>
    <x v="2"/>
    <n v="1"/>
    <n v="50"/>
    <n v="1"/>
    <n v="115"/>
    <n v="1"/>
    <n v="50"/>
    <m/>
    <m/>
    <m/>
    <m/>
    <m/>
    <m/>
    <m/>
    <m/>
    <n v="0.42857142857142855"/>
    <n v="215"/>
  </r>
  <r>
    <s v="Parente"/>
    <s v="Maria"/>
    <x v="2"/>
    <n v="1"/>
    <n v="50"/>
    <n v="1"/>
    <n v="115"/>
    <n v="1"/>
    <n v="50"/>
    <m/>
    <m/>
    <m/>
    <m/>
    <m/>
    <m/>
    <m/>
    <m/>
    <n v="0.42857142857142855"/>
    <n v="215"/>
  </r>
  <r>
    <s v="Pietropaolo"/>
    <s v="Sara"/>
    <x v="2"/>
    <n v="1"/>
    <n v="50"/>
    <n v="1"/>
    <n v="115"/>
    <n v="1"/>
    <n v="50"/>
    <m/>
    <m/>
    <m/>
    <m/>
    <m/>
    <m/>
    <m/>
    <m/>
    <n v="0.42857142857142855"/>
    <n v="215"/>
  </r>
  <r>
    <s v="Rispoli"/>
    <s v="Marco"/>
    <x v="2"/>
    <n v="1"/>
    <n v="50"/>
    <n v="1"/>
    <n v="115"/>
    <n v="1"/>
    <n v="50"/>
    <m/>
    <m/>
    <m/>
    <m/>
    <m/>
    <m/>
    <m/>
    <m/>
    <n v="0.42857142857142855"/>
    <n v="215"/>
  </r>
  <r>
    <s v="Maione"/>
    <s v="Barbara"/>
    <x v="3"/>
    <n v="1"/>
    <n v="150"/>
    <n v="0"/>
    <n v="0"/>
    <n v="1"/>
    <n v="0"/>
    <m/>
    <m/>
    <m/>
    <m/>
    <m/>
    <m/>
    <m/>
    <m/>
    <n v="0.2857142857142857"/>
    <n v="150"/>
  </r>
  <r>
    <s v="Nasti"/>
    <s v="Francesca"/>
    <x v="3"/>
    <n v="1"/>
    <n v="150"/>
    <n v="1"/>
    <n v="0"/>
    <n v="1"/>
    <n v="0"/>
    <m/>
    <m/>
    <m/>
    <m/>
    <m/>
    <m/>
    <m/>
    <m/>
    <n v="0.42857142857142855"/>
    <n v="150"/>
  </r>
  <r>
    <s v="Noviello"/>
    <s v="Martina"/>
    <x v="3"/>
    <n v="1"/>
    <n v="150"/>
    <n v="0"/>
    <n v="0"/>
    <n v="1"/>
    <n v="0"/>
    <m/>
    <m/>
    <m/>
    <m/>
    <m/>
    <m/>
    <m/>
    <m/>
    <n v="0.2857142857142857"/>
    <n v="150"/>
  </r>
  <r>
    <s v="Pepe"/>
    <s v="Lorenzo"/>
    <x v="3"/>
    <n v="1"/>
    <n v="150"/>
    <n v="1"/>
    <n v="0"/>
    <n v="1"/>
    <n v="0"/>
    <m/>
    <m/>
    <m/>
    <m/>
    <m/>
    <m/>
    <m/>
    <m/>
    <n v="0.42857142857142855"/>
    <n v="150"/>
  </r>
  <r>
    <s v="Tartaro"/>
    <s v="Ilaria"/>
    <x v="3"/>
    <n v="1"/>
    <n v="150"/>
    <n v="0"/>
    <n v="0"/>
    <n v="0"/>
    <n v="0"/>
    <m/>
    <m/>
    <m/>
    <m/>
    <m/>
    <m/>
    <m/>
    <m/>
    <n v="0.14285714285714285"/>
    <n v="150"/>
  </r>
  <r>
    <s v="Versi"/>
    <s v="Giuseppina"/>
    <x v="3"/>
    <n v="1"/>
    <n v="150"/>
    <n v="0"/>
    <n v="0"/>
    <n v="1"/>
    <n v="0"/>
    <m/>
    <m/>
    <m/>
    <m/>
    <m/>
    <m/>
    <m/>
    <m/>
    <n v="0.2857142857142857"/>
    <n v="150"/>
  </r>
  <r>
    <s v="Borrelli"/>
    <s v="Nunzia"/>
    <x v="4"/>
    <n v="1"/>
    <n v="50"/>
    <n v="1"/>
    <n v="0"/>
    <n v="0"/>
    <n v="0"/>
    <m/>
    <m/>
    <m/>
    <m/>
    <m/>
    <m/>
    <m/>
    <m/>
    <n v="0.2857142857142857"/>
    <n v="50"/>
  </r>
  <r>
    <s v="Canzolino"/>
    <s v="Carlo"/>
    <x v="4"/>
    <n v="1"/>
    <n v="50"/>
    <n v="1"/>
    <n v="0"/>
    <n v="1"/>
    <n v="0"/>
    <m/>
    <m/>
    <m/>
    <m/>
    <m/>
    <m/>
    <m/>
    <m/>
    <n v="0.42857142857142855"/>
    <n v="50"/>
  </r>
  <r>
    <s v="De Siena"/>
    <s v="Daniele Gennaro"/>
    <x v="4"/>
    <n v="1"/>
    <n v="50"/>
    <n v="1"/>
    <n v="0"/>
    <n v="1"/>
    <n v="0"/>
    <m/>
    <m/>
    <m/>
    <m/>
    <m/>
    <m/>
    <m/>
    <m/>
    <n v="0.42857142857142855"/>
    <n v="50"/>
  </r>
  <r>
    <s v="Di Meglio"/>
    <s v="Francesco"/>
    <x v="4"/>
    <n v="1"/>
    <n v="50"/>
    <n v="1"/>
    <n v="0"/>
    <n v="1"/>
    <n v="0"/>
    <m/>
    <m/>
    <m/>
    <m/>
    <m/>
    <m/>
    <m/>
    <m/>
    <n v="0.42857142857142855"/>
    <n v="50"/>
  </r>
  <r>
    <s v="Esposito"/>
    <s v="Melissa"/>
    <x v="4"/>
    <n v="1"/>
    <n v="50"/>
    <n v="1"/>
    <n v="0"/>
    <n v="0"/>
    <n v="0"/>
    <m/>
    <m/>
    <m/>
    <m/>
    <m/>
    <m/>
    <m/>
    <m/>
    <n v="0.2857142857142857"/>
    <n v="50"/>
  </r>
  <r>
    <s v="Ferrante"/>
    <s v="Rosanna"/>
    <x v="4"/>
    <n v="1"/>
    <n v="50"/>
    <n v="0"/>
    <n v="0"/>
    <n v="1"/>
    <n v="0"/>
    <m/>
    <m/>
    <m/>
    <m/>
    <m/>
    <m/>
    <m/>
    <m/>
    <n v="0.2857142857142857"/>
    <n v="50"/>
  </r>
  <r>
    <s v="Maglietta"/>
    <s v="Giuseppe"/>
    <x v="4"/>
    <n v="1"/>
    <n v="50"/>
    <n v="1"/>
    <n v="0"/>
    <n v="0"/>
    <n v="0"/>
    <m/>
    <m/>
    <m/>
    <m/>
    <m/>
    <m/>
    <m/>
    <m/>
    <n v="0.2857142857142857"/>
    <n v="50"/>
  </r>
  <r>
    <s v="Patroni Griffi"/>
    <s v="Niccolò"/>
    <x v="4"/>
    <n v="1"/>
    <n v="50"/>
    <n v="1"/>
    <n v="0"/>
    <n v="1"/>
    <n v="0"/>
    <m/>
    <m/>
    <m/>
    <m/>
    <m/>
    <m/>
    <m/>
    <m/>
    <n v="0.42857142857142855"/>
    <n v="50"/>
  </r>
  <r>
    <s v="Semioli"/>
    <s v="Stella"/>
    <x v="4"/>
    <n v="1"/>
    <n v="50"/>
    <n v="1"/>
    <n v="0"/>
    <n v="0"/>
    <n v="0"/>
    <m/>
    <m/>
    <m/>
    <m/>
    <m/>
    <m/>
    <m/>
    <m/>
    <n v="0.2857142857142857"/>
    <n v="50"/>
  </r>
  <r>
    <s v="Siano"/>
    <s v="Gaetano"/>
    <x v="4"/>
    <n v="1"/>
    <n v="50"/>
    <n v="0"/>
    <n v="0"/>
    <n v="0"/>
    <n v="0"/>
    <m/>
    <m/>
    <m/>
    <m/>
    <m/>
    <m/>
    <m/>
    <m/>
    <n v="0.14285714285714285"/>
    <n v="50"/>
  </r>
  <r>
    <s v="Agliottone"/>
    <s v="Davide"/>
    <x v="5"/>
    <n v="0"/>
    <n v="50"/>
    <n v="1"/>
    <n v="0"/>
    <n v="1"/>
    <n v="-5"/>
    <m/>
    <m/>
    <m/>
    <m/>
    <m/>
    <m/>
    <m/>
    <m/>
    <n v="0.2857142857142857"/>
    <n v="45"/>
  </r>
  <r>
    <s v="Gallo"/>
    <s v="Gennaro"/>
    <x v="5"/>
    <n v="0"/>
    <n v="50"/>
    <n v="1"/>
    <n v="0"/>
    <n v="1"/>
    <n v="-5"/>
    <m/>
    <m/>
    <m/>
    <m/>
    <m/>
    <m/>
    <m/>
    <m/>
    <n v="0.2857142857142857"/>
    <n v="45"/>
  </r>
  <r>
    <s v="Imperatore"/>
    <s v="Luca"/>
    <x v="5"/>
    <n v="0"/>
    <n v="50"/>
    <n v="1"/>
    <n v="0"/>
    <n v="0"/>
    <n v="-5"/>
    <m/>
    <m/>
    <m/>
    <m/>
    <m/>
    <m/>
    <m/>
    <m/>
    <n v="0.14285714285714285"/>
    <n v="45"/>
  </r>
  <r>
    <s v="Monaco"/>
    <s v="Marcello"/>
    <x v="5"/>
    <n v="0"/>
    <n v="50"/>
    <n v="1"/>
    <n v="0"/>
    <n v="1"/>
    <n v="-5"/>
    <m/>
    <m/>
    <m/>
    <m/>
    <m/>
    <m/>
    <m/>
    <m/>
    <n v="0.2857142857142857"/>
    <n v="45"/>
  </r>
  <r>
    <s v="Cerundolo"/>
    <s v="Anna"/>
    <x v="6"/>
    <n v="1"/>
    <n v="50"/>
    <n v="1"/>
    <n v="0"/>
    <n v="1"/>
    <n v="100"/>
    <m/>
    <m/>
    <m/>
    <m/>
    <m/>
    <m/>
    <m/>
    <m/>
    <n v="0.42857142857142855"/>
    <n v="150"/>
  </r>
  <r>
    <s v="Chieti"/>
    <s v="Simona"/>
    <x v="6"/>
    <n v="1"/>
    <n v="50"/>
    <n v="1"/>
    <n v="0"/>
    <n v="1"/>
    <n v="100"/>
    <m/>
    <m/>
    <m/>
    <m/>
    <m/>
    <m/>
    <m/>
    <m/>
    <n v="0.42857142857142855"/>
    <n v="150"/>
  </r>
  <r>
    <s v="Coda"/>
    <s v="Roberta"/>
    <x v="6"/>
    <n v="1"/>
    <n v="50"/>
    <n v="1"/>
    <n v="0"/>
    <n v="1"/>
    <n v="100"/>
    <m/>
    <m/>
    <m/>
    <m/>
    <m/>
    <m/>
    <m/>
    <m/>
    <n v="0.42857142857142855"/>
    <n v="150"/>
  </r>
  <r>
    <s v="Dibartolomeo"/>
    <s v="Elisa Diana"/>
    <x v="6"/>
    <n v="1"/>
    <n v="50"/>
    <n v="1"/>
    <n v="0"/>
    <n v="1"/>
    <n v="100"/>
    <m/>
    <m/>
    <m/>
    <m/>
    <m/>
    <m/>
    <m/>
    <m/>
    <n v="0.42857142857142855"/>
    <n v="150"/>
  </r>
  <r>
    <s v="Raduazzo"/>
    <s v="Letizia"/>
    <x v="6"/>
    <n v="1"/>
    <n v="50"/>
    <n v="1"/>
    <n v="0"/>
    <n v="1"/>
    <n v="100"/>
    <m/>
    <m/>
    <m/>
    <m/>
    <m/>
    <m/>
    <m/>
    <m/>
    <n v="0.42857142857142855"/>
    <n v="150"/>
  </r>
  <r>
    <s v="Vable"/>
    <s v="Vittoria"/>
    <x v="6"/>
    <n v="1"/>
    <n v="50"/>
    <n v="1"/>
    <n v="0"/>
    <n v="1"/>
    <n v="100"/>
    <m/>
    <m/>
    <m/>
    <m/>
    <m/>
    <m/>
    <m/>
    <m/>
    <n v="0.42857142857142855"/>
    <n v="150"/>
  </r>
  <r>
    <s v="Zito"/>
    <s v="Michelangelo"/>
    <x v="6"/>
    <n v="1"/>
    <n v="50"/>
    <n v="1"/>
    <n v="0"/>
    <n v="1"/>
    <n v="100"/>
    <m/>
    <m/>
    <m/>
    <m/>
    <m/>
    <m/>
    <m/>
    <m/>
    <n v="0.42857142857142855"/>
    <n v="150"/>
  </r>
  <r>
    <s v="Antico"/>
    <s v="Giorgia"/>
    <x v="7"/>
    <n v="1"/>
    <n v="50"/>
    <n v="1"/>
    <n v="15"/>
    <n v="1"/>
    <n v="0"/>
    <m/>
    <m/>
    <m/>
    <m/>
    <m/>
    <m/>
    <m/>
    <m/>
    <n v="0.42857142857142855"/>
    <n v="65"/>
  </r>
  <r>
    <s v="D'Acunto"/>
    <s v="Luca"/>
    <x v="7"/>
    <n v="1"/>
    <n v="50"/>
    <n v="1"/>
    <n v="15"/>
    <n v="0"/>
    <n v="0"/>
    <m/>
    <m/>
    <m/>
    <m/>
    <m/>
    <m/>
    <m/>
    <m/>
    <n v="0.2857142857142857"/>
    <n v="65"/>
  </r>
  <r>
    <s v="Di Fiore"/>
    <s v="Manila"/>
    <x v="7"/>
    <n v="1"/>
    <n v="50"/>
    <n v="1"/>
    <n v="15"/>
    <n v="0"/>
    <n v="0"/>
    <m/>
    <m/>
    <m/>
    <m/>
    <m/>
    <m/>
    <m/>
    <m/>
    <n v="0.2857142857142857"/>
    <n v="65"/>
  </r>
  <r>
    <s v="Ditri"/>
    <s v="Martina"/>
    <x v="7"/>
    <n v="1"/>
    <n v="50"/>
    <n v="1"/>
    <n v="15"/>
    <n v="1"/>
    <n v="0"/>
    <m/>
    <m/>
    <m/>
    <m/>
    <m/>
    <m/>
    <m/>
    <m/>
    <n v="0.42857142857142855"/>
    <n v="65"/>
  </r>
  <r>
    <s v="Fraddanno"/>
    <s v="Filippo"/>
    <x v="7"/>
    <n v="1"/>
    <n v="50"/>
    <n v="1"/>
    <n v="15"/>
    <n v="1"/>
    <n v="0"/>
    <m/>
    <m/>
    <m/>
    <m/>
    <m/>
    <m/>
    <m/>
    <m/>
    <n v="0.42857142857142855"/>
    <n v="65"/>
  </r>
  <r>
    <s v="Marciello"/>
    <s v="Miriam"/>
    <x v="7"/>
    <n v="1"/>
    <n v="50"/>
    <n v="1"/>
    <n v="15"/>
    <n v="1"/>
    <n v="0"/>
    <m/>
    <m/>
    <m/>
    <m/>
    <m/>
    <m/>
    <m/>
    <m/>
    <n v="0.42857142857142855"/>
    <n v="65"/>
  </r>
  <r>
    <s v="Miranda"/>
    <s v="Sara"/>
    <x v="7"/>
    <n v="1"/>
    <n v="50"/>
    <n v="1"/>
    <n v="15"/>
    <n v="1"/>
    <n v="0"/>
    <m/>
    <m/>
    <m/>
    <m/>
    <m/>
    <m/>
    <m/>
    <m/>
    <n v="0.42857142857142855"/>
    <n v="65"/>
  </r>
  <r>
    <s v="Rolletta"/>
    <s v="Christian"/>
    <x v="7"/>
    <n v="1"/>
    <n v="50"/>
    <n v="1"/>
    <n v="15"/>
    <n v="1"/>
    <n v="0"/>
    <m/>
    <m/>
    <m/>
    <m/>
    <m/>
    <m/>
    <m/>
    <m/>
    <n v="0.42857142857142855"/>
    <n v="65"/>
  </r>
  <r>
    <s v="Soriano"/>
    <s v="Leandro"/>
    <x v="7"/>
    <n v="1"/>
    <n v="50"/>
    <n v="1"/>
    <n v="15"/>
    <n v="1"/>
    <n v="0"/>
    <m/>
    <m/>
    <m/>
    <m/>
    <m/>
    <m/>
    <m/>
    <m/>
    <n v="0.42857142857142855"/>
    <n v="65"/>
  </r>
  <r>
    <s v="Vitale"/>
    <s v="Marco"/>
    <x v="7"/>
    <n v="1"/>
    <n v="50"/>
    <n v="1"/>
    <n v="15"/>
    <n v="1"/>
    <n v="0"/>
    <m/>
    <m/>
    <m/>
    <m/>
    <m/>
    <m/>
    <m/>
    <m/>
    <n v="0.42857142857142855"/>
    <n v="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"/>
  <sheetViews>
    <sheetView zoomScale="125" workbookViewId="0">
      <pane xSplit="3" ySplit="2" topLeftCell="D3" activePane="bottomRight" state="frozen"/>
      <selection pane="topRight"/>
      <selection pane="bottomLeft"/>
      <selection pane="bottomRight" activeCell="I3" sqref="I3:I9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customWidth="1"/>
    <col min="5" max="5" width="8" customWidth="1"/>
    <col min="6" max="6" width="11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5" t="s">
        <v>0</v>
      </c>
      <c r="B1" s="23"/>
      <c r="C1" s="23"/>
      <c r="D1" s="20" t="s">
        <v>1</v>
      </c>
      <c r="E1" s="23"/>
      <c r="F1" s="22" t="s">
        <v>2</v>
      </c>
      <c r="G1" s="23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4" t="s">
        <v>8</v>
      </c>
      <c r="S1" s="24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/>
      <c r="K3" s="17"/>
      <c r="L3" s="17"/>
      <c r="M3" s="17"/>
      <c r="N3" s="17"/>
      <c r="O3" s="17"/>
      <c r="P3" s="17"/>
      <c r="Q3" s="17"/>
      <c r="R3" s="4">
        <f t="shared" ref="R3:R34" si="0">(D3+F3+H3+J3+L3+N3+P3)/7</f>
        <v>0.42857142857142855</v>
      </c>
      <c r="S3" s="3">
        <f t="shared" ref="S3:S34" si="1">E3+G3+I3+K3+M3+O3+Q3</f>
        <v>95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/>
      <c r="K4" s="17"/>
      <c r="L4" s="17"/>
      <c r="M4" s="17"/>
      <c r="N4" s="17"/>
      <c r="O4" s="17"/>
      <c r="P4" s="17"/>
      <c r="Q4" s="17"/>
      <c r="R4" s="4">
        <f t="shared" si="0"/>
        <v>0.42857142857142855</v>
      </c>
      <c r="S4" s="3">
        <f t="shared" si="1"/>
        <v>95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/>
      <c r="K5" s="17"/>
      <c r="L5" s="17"/>
      <c r="M5" s="17"/>
      <c r="N5" s="17"/>
      <c r="O5" s="17"/>
      <c r="P5" s="17"/>
      <c r="Q5" s="17"/>
      <c r="R5" s="4">
        <f t="shared" si="0"/>
        <v>0.42857142857142855</v>
      </c>
      <c r="S5" s="3">
        <f t="shared" si="1"/>
        <v>95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/>
      <c r="K6" s="17"/>
      <c r="L6" s="17"/>
      <c r="M6" s="17"/>
      <c r="N6" s="17"/>
      <c r="O6" s="17"/>
      <c r="P6" s="17"/>
      <c r="Q6" s="17"/>
      <c r="R6" s="4">
        <f t="shared" si="0"/>
        <v>0.42857142857142855</v>
      </c>
      <c r="S6" s="3">
        <f t="shared" si="1"/>
        <v>95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/>
      <c r="K7" s="17"/>
      <c r="L7" s="17"/>
      <c r="M7" s="17"/>
      <c r="N7" s="17"/>
      <c r="O7" s="17"/>
      <c r="P7" s="17"/>
      <c r="Q7" s="17"/>
      <c r="R7" s="4">
        <f t="shared" si="0"/>
        <v>0.2857142857142857</v>
      </c>
      <c r="S7" s="3">
        <f t="shared" si="1"/>
        <v>95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/>
      <c r="K8" s="17"/>
      <c r="L8" s="17"/>
      <c r="M8" s="17"/>
      <c r="N8" s="17"/>
      <c r="O8" s="17"/>
      <c r="P8" s="17"/>
      <c r="Q8" s="17"/>
      <c r="R8" s="4">
        <f t="shared" si="0"/>
        <v>0.42857142857142855</v>
      </c>
      <c r="S8" s="3">
        <f t="shared" si="1"/>
        <v>95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/>
      <c r="K9" s="17"/>
      <c r="L9" s="17"/>
      <c r="M9" s="17"/>
      <c r="N9" s="17"/>
      <c r="O9" s="17"/>
      <c r="P9" s="17"/>
      <c r="Q9" s="17"/>
      <c r="R9" s="4">
        <f t="shared" si="0"/>
        <v>0.42857142857142855</v>
      </c>
      <c r="S9" s="3">
        <f t="shared" si="1"/>
        <v>95</v>
      </c>
    </row>
    <row r="10" spans="1:19" x14ac:dyDescent="0.2">
      <c r="A10" s="8" t="s">
        <v>137</v>
      </c>
      <c r="B10" s="8" t="s">
        <v>138</v>
      </c>
      <c r="C10" s="8" t="s">
        <v>135</v>
      </c>
      <c r="D10" s="9">
        <v>1</v>
      </c>
      <c r="E10" s="9">
        <v>50</v>
      </c>
      <c r="F10" s="15">
        <v>1</v>
      </c>
      <c r="G10" s="17">
        <v>0</v>
      </c>
      <c r="H10" s="17">
        <v>1</v>
      </c>
      <c r="I10" s="17">
        <v>0</v>
      </c>
      <c r="J10" s="17"/>
      <c r="K10" s="17"/>
      <c r="L10" s="17"/>
      <c r="M10" s="17"/>
      <c r="N10" s="17"/>
      <c r="O10" s="17"/>
      <c r="P10" s="17"/>
      <c r="Q10" s="17"/>
      <c r="R10" s="4">
        <f t="shared" si="0"/>
        <v>0.42857142857142855</v>
      </c>
      <c r="S10" s="3">
        <f t="shared" si="1"/>
        <v>50</v>
      </c>
    </row>
    <row r="11" spans="1:19" x14ac:dyDescent="0.2">
      <c r="A11" s="8" t="s">
        <v>134</v>
      </c>
      <c r="B11" s="8" t="s">
        <v>46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/>
      <c r="K11" s="17"/>
      <c r="L11" s="17"/>
      <c r="M11" s="17"/>
      <c r="N11" s="17"/>
      <c r="O11" s="17"/>
      <c r="P11" s="17"/>
      <c r="Q11" s="17"/>
      <c r="R11" s="4">
        <f t="shared" si="0"/>
        <v>0.42857142857142855</v>
      </c>
      <c r="S11" s="3">
        <f t="shared" si="1"/>
        <v>50</v>
      </c>
    </row>
    <row r="12" spans="1:19" x14ac:dyDescent="0.2">
      <c r="A12" s="8" t="s">
        <v>141</v>
      </c>
      <c r="B12" s="8" t="s">
        <v>142</v>
      </c>
      <c r="C12" s="8" t="s">
        <v>135</v>
      </c>
      <c r="D12" s="9">
        <v>1</v>
      </c>
      <c r="E12" s="9">
        <v>50</v>
      </c>
      <c r="F12" s="15">
        <v>0</v>
      </c>
      <c r="G12" s="17">
        <v>0</v>
      </c>
      <c r="H12" s="17">
        <v>1</v>
      </c>
      <c r="I12" s="17">
        <v>0</v>
      </c>
      <c r="J12" s="17"/>
      <c r="K12" s="17"/>
      <c r="L12" s="17"/>
      <c r="M12" s="17"/>
      <c r="N12" s="17"/>
      <c r="O12" s="17"/>
      <c r="P12" s="17"/>
      <c r="Q12" s="17"/>
      <c r="R12" s="4">
        <f t="shared" si="0"/>
        <v>0.2857142857142857</v>
      </c>
      <c r="S12" s="3">
        <f t="shared" si="1"/>
        <v>50</v>
      </c>
    </row>
    <row r="13" spans="1:19" x14ac:dyDescent="0.2">
      <c r="A13" s="8" t="s">
        <v>136</v>
      </c>
      <c r="B13" s="8" t="s">
        <v>76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/>
      <c r="K13" s="17"/>
      <c r="L13" s="17"/>
      <c r="M13" s="17"/>
      <c r="N13" s="17"/>
      <c r="O13" s="17"/>
      <c r="P13" s="17"/>
      <c r="Q13" s="17"/>
      <c r="R13" s="4">
        <f t="shared" si="0"/>
        <v>0.2857142857142857</v>
      </c>
      <c r="S13" s="3">
        <f t="shared" si="1"/>
        <v>50</v>
      </c>
    </row>
    <row r="14" spans="1:19" x14ac:dyDescent="0.2">
      <c r="A14" s="8" t="s">
        <v>139</v>
      </c>
      <c r="B14" s="8" t="s">
        <v>138</v>
      </c>
      <c r="C14" s="8" t="s">
        <v>135</v>
      </c>
      <c r="D14" s="9">
        <v>1</v>
      </c>
      <c r="E14" s="9">
        <v>50</v>
      </c>
      <c r="F14" s="15">
        <v>1</v>
      </c>
      <c r="G14" s="17">
        <v>0</v>
      </c>
      <c r="H14" s="17">
        <v>1</v>
      </c>
      <c r="I14" s="17">
        <v>0</v>
      </c>
      <c r="J14" s="17"/>
      <c r="K14" s="17"/>
      <c r="L14" s="17"/>
      <c r="M14" s="17"/>
      <c r="N14" s="17"/>
      <c r="O14" s="17"/>
      <c r="P14" s="17"/>
      <c r="Q14" s="17"/>
      <c r="R14" s="4">
        <f t="shared" si="0"/>
        <v>0.42857142857142855</v>
      </c>
      <c r="S14" s="3">
        <f t="shared" si="1"/>
        <v>50</v>
      </c>
    </row>
    <row r="15" spans="1:19" x14ac:dyDescent="0.2">
      <c r="A15" s="8" t="s">
        <v>143</v>
      </c>
      <c r="B15" s="8" t="s">
        <v>144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0</v>
      </c>
      <c r="I15" s="17">
        <v>0</v>
      </c>
      <c r="J15" s="17"/>
      <c r="K15" s="17"/>
      <c r="L15" s="17"/>
      <c r="M15" s="17"/>
      <c r="N15" s="17"/>
      <c r="O15" s="17"/>
      <c r="P15" s="17"/>
      <c r="Q15" s="17"/>
      <c r="R15" s="4">
        <f t="shared" si="0"/>
        <v>0.2857142857142857</v>
      </c>
      <c r="S15" s="3">
        <f t="shared" si="1"/>
        <v>50</v>
      </c>
    </row>
    <row r="16" spans="1:19" x14ac:dyDescent="0.2">
      <c r="A16" s="8" t="s">
        <v>140</v>
      </c>
      <c r="B16" s="8" t="s">
        <v>49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1</v>
      </c>
      <c r="I16" s="17">
        <v>0</v>
      </c>
      <c r="J16" s="17"/>
      <c r="K16" s="17"/>
      <c r="L16" s="17"/>
      <c r="M16" s="17"/>
      <c r="N16" s="17"/>
      <c r="O16" s="17"/>
      <c r="P16" s="17"/>
      <c r="Q16" s="17"/>
      <c r="R16" s="4">
        <f t="shared" si="0"/>
        <v>0.42857142857142855</v>
      </c>
      <c r="S16" s="3">
        <f t="shared" si="1"/>
        <v>50</v>
      </c>
    </row>
    <row r="17" spans="1:19" x14ac:dyDescent="0.2">
      <c r="A17" s="8" t="s">
        <v>29</v>
      </c>
      <c r="B17" s="8" t="s">
        <v>30</v>
      </c>
      <c r="C17" s="8" t="s">
        <v>31</v>
      </c>
      <c r="D17" s="9">
        <v>1</v>
      </c>
      <c r="E17" s="9">
        <v>50</v>
      </c>
      <c r="F17" s="9">
        <v>1</v>
      </c>
      <c r="G17" s="9">
        <v>115</v>
      </c>
      <c r="H17" s="9">
        <v>1</v>
      </c>
      <c r="I17" s="9">
        <v>50</v>
      </c>
      <c r="J17" s="9"/>
      <c r="K17" s="9"/>
      <c r="L17" s="9"/>
      <c r="M17" s="9"/>
      <c r="N17" s="9"/>
      <c r="O17" s="9"/>
      <c r="P17" s="9"/>
      <c r="Q17" s="9"/>
      <c r="R17" s="4">
        <f t="shared" si="0"/>
        <v>0.42857142857142855</v>
      </c>
      <c r="S17" s="3">
        <f t="shared" si="1"/>
        <v>215</v>
      </c>
    </row>
    <row r="18" spans="1:19" x14ac:dyDescent="0.2">
      <c r="A18" s="8" t="s">
        <v>32</v>
      </c>
      <c r="B18" s="8" t="s">
        <v>33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/>
      <c r="K18" s="9"/>
      <c r="L18" s="9"/>
      <c r="M18" s="9"/>
      <c r="N18" s="9"/>
      <c r="O18" s="9"/>
      <c r="P18" s="9"/>
      <c r="Q18" s="9"/>
      <c r="R18" s="4">
        <f t="shared" si="0"/>
        <v>0.42857142857142855</v>
      </c>
      <c r="S18" s="3">
        <f t="shared" si="1"/>
        <v>215</v>
      </c>
    </row>
    <row r="19" spans="1:19" x14ac:dyDescent="0.2">
      <c r="A19" s="8" t="s">
        <v>37</v>
      </c>
      <c r="B19" s="8" t="s">
        <v>38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/>
      <c r="K19" s="9"/>
      <c r="L19" s="9"/>
      <c r="M19" s="9"/>
      <c r="N19" s="9"/>
      <c r="O19" s="9"/>
      <c r="P19" s="9"/>
      <c r="Q19" s="9"/>
      <c r="R19" s="4">
        <f t="shared" si="0"/>
        <v>0.42857142857142855</v>
      </c>
      <c r="S19" s="3">
        <f t="shared" si="1"/>
        <v>215</v>
      </c>
    </row>
    <row r="20" spans="1:19" x14ac:dyDescent="0.2">
      <c r="A20" s="8" t="s">
        <v>41</v>
      </c>
      <c r="B20" s="8" t="s">
        <v>42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/>
      <c r="K20" s="9"/>
      <c r="L20" s="9"/>
      <c r="M20" s="9"/>
      <c r="N20" s="9"/>
      <c r="O20" s="9"/>
      <c r="P20" s="9"/>
      <c r="Q20" s="9"/>
      <c r="R20" s="4">
        <f t="shared" si="0"/>
        <v>0.42857142857142855</v>
      </c>
      <c r="S20" s="3">
        <f t="shared" si="1"/>
        <v>215</v>
      </c>
    </row>
    <row r="21" spans="1:19" x14ac:dyDescent="0.2">
      <c r="A21" s="8" t="s">
        <v>43</v>
      </c>
      <c r="B21" s="8" t="s">
        <v>44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0</v>
      </c>
      <c r="I21" s="9">
        <v>50</v>
      </c>
      <c r="J21" s="9"/>
      <c r="K21" s="9"/>
      <c r="L21" s="9"/>
      <c r="M21" s="9"/>
      <c r="N21" s="9"/>
      <c r="O21" s="9"/>
      <c r="P21" s="9"/>
      <c r="Q21" s="9"/>
      <c r="R21" s="4">
        <f t="shared" si="0"/>
        <v>0.2857142857142857</v>
      </c>
      <c r="S21" s="3">
        <f t="shared" si="1"/>
        <v>215</v>
      </c>
    </row>
    <row r="22" spans="1:19" x14ac:dyDescent="0.2">
      <c r="A22" s="8" t="s">
        <v>69</v>
      </c>
      <c r="B22" s="8" t="s">
        <v>70</v>
      </c>
      <c r="C22" s="8" t="s">
        <v>31</v>
      </c>
      <c r="D22" s="9">
        <v>1</v>
      </c>
      <c r="E22" s="9">
        <v>50</v>
      </c>
      <c r="F22" s="9">
        <v>0</v>
      </c>
      <c r="G22" s="9">
        <v>115</v>
      </c>
      <c r="H22" s="9">
        <v>1</v>
      </c>
      <c r="I22" s="9">
        <v>50</v>
      </c>
      <c r="J22" s="9"/>
      <c r="K22" s="9"/>
      <c r="L22" s="9"/>
      <c r="M22" s="9"/>
      <c r="N22" s="9"/>
      <c r="O22" s="9"/>
      <c r="P22" s="9"/>
      <c r="Q22" s="9"/>
      <c r="R22" s="4">
        <f t="shared" si="0"/>
        <v>0.2857142857142857</v>
      </c>
      <c r="S22" s="3">
        <f t="shared" si="1"/>
        <v>215</v>
      </c>
    </row>
    <row r="23" spans="1:19" x14ac:dyDescent="0.2">
      <c r="A23" s="8" t="s">
        <v>71</v>
      </c>
      <c r="B23" s="8" t="s">
        <v>72</v>
      </c>
      <c r="C23" s="8" t="s">
        <v>31</v>
      </c>
      <c r="D23" s="9">
        <v>1</v>
      </c>
      <c r="E23" s="9">
        <v>50</v>
      </c>
      <c r="F23" s="9">
        <v>1</v>
      </c>
      <c r="G23" s="9">
        <v>115</v>
      </c>
      <c r="H23" s="9">
        <v>1</v>
      </c>
      <c r="I23" s="9">
        <v>50</v>
      </c>
      <c r="J23" s="9"/>
      <c r="K23" s="9"/>
      <c r="L23" s="9"/>
      <c r="M23" s="9"/>
      <c r="N23" s="9"/>
      <c r="O23" s="9"/>
      <c r="P23" s="9"/>
      <c r="Q23" s="9"/>
      <c r="R23" s="4">
        <f t="shared" si="0"/>
        <v>0.42857142857142855</v>
      </c>
      <c r="S23" s="3">
        <f t="shared" si="1"/>
        <v>215</v>
      </c>
    </row>
    <row r="24" spans="1:19" x14ac:dyDescent="0.2">
      <c r="A24" s="8" t="s">
        <v>78</v>
      </c>
      <c r="B24" s="8" t="s">
        <v>79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/>
      <c r="K24" s="9"/>
      <c r="L24" s="9"/>
      <c r="M24" s="9"/>
      <c r="N24" s="9"/>
      <c r="O24" s="9"/>
      <c r="P24" s="9"/>
      <c r="Q24" s="9"/>
      <c r="R24" s="4">
        <f t="shared" si="0"/>
        <v>0.42857142857142855</v>
      </c>
      <c r="S24" s="3">
        <f t="shared" si="1"/>
        <v>215</v>
      </c>
    </row>
    <row r="25" spans="1:19" x14ac:dyDescent="0.2">
      <c r="A25" s="8" t="s">
        <v>82</v>
      </c>
      <c r="B25" s="8" t="s">
        <v>74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/>
      <c r="K25" s="9"/>
      <c r="L25" s="9"/>
      <c r="M25" s="9"/>
      <c r="N25" s="9"/>
      <c r="O25" s="9"/>
      <c r="P25" s="9"/>
      <c r="Q25" s="9"/>
      <c r="R25" s="4">
        <f t="shared" si="0"/>
        <v>0.42857142857142855</v>
      </c>
      <c r="S25" s="3">
        <f t="shared" si="1"/>
        <v>215</v>
      </c>
    </row>
    <row r="26" spans="1:19" x14ac:dyDescent="0.2">
      <c r="A26" s="8" t="s">
        <v>85</v>
      </c>
      <c r="B26" s="8" t="s">
        <v>86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/>
      <c r="K26" s="9"/>
      <c r="L26" s="9"/>
      <c r="M26" s="9"/>
      <c r="N26" s="9"/>
      <c r="O26" s="9"/>
      <c r="P26" s="9"/>
      <c r="Q26" s="9"/>
      <c r="R26" s="4">
        <f t="shared" si="0"/>
        <v>0.42857142857142855</v>
      </c>
      <c r="S26" s="3">
        <f t="shared" si="1"/>
        <v>215</v>
      </c>
    </row>
    <row r="27" spans="1:19" x14ac:dyDescent="0.2">
      <c r="A27" s="8" t="s">
        <v>64</v>
      </c>
      <c r="B27" s="8" t="s">
        <v>65</v>
      </c>
      <c r="C27" s="8" t="s">
        <v>66</v>
      </c>
      <c r="D27" s="9">
        <v>1</v>
      </c>
      <c r="E27" s="9">
        <v>150</v>
      </c>
      <c r="F27" s="9">
        <v>0</v>
      </c>
      <c r="G27" s="9">
        <v>0</v>
      </c>
      <c r="H27" s="9">
        <v>1</v>
      </c>
      <c r="I27" s="9">
        <v>0</v>
      </c>
      <c r="J27" s="9"/>
      <c r="K27" s="9"/>
      <c r="L27" s="9"/>
      <c r="M27" s="9"/>
      <c r="N27" s="9"/>
      <c r="O27" s="9"/>
      <c r="P27" s="9"/>
      <c r="Q27" s="9"/>
      <c r="R27" s="4">
        <f t="shared" si="0"/>
        <v>0.2857142857142857</v>
      </c>
      <c r="S27" s="3">
        <f t="shared" si="1"/>
        <v>150</v>
      </c>
    </row>
    <row r="28" spans="1:19" x14ac:dyDescent="0.2">
      <c r="A28" s="8" t="s">
        <v>75</v>
      </c>
      <c r="B28" s="8" t="s">
        <v>76</v>
      </c>
      <c r="C28" s="8" t="s">
        <v>66</v>
      </c>
      <c r="D28" s="9">
        <v>1</v>
      </c>
      <c r="E28" s="9">
        <v>150</v>
      </c>
      <c r="F28" s="9">
        <v>1</v>
      </c>
      <c r="G28" s="9">
        <v>0</v>
      </c>
      <c r="H28" s="9">
        <v>1</v>
      </c>
      <c r="I28" s="9">
        <v>0</v>
      </c>
      <c r="J28" s="9"/>
      <c r="K28" s="9"/>
      <c r="L28" s="9"/>
      <c r="M28" s="9"/>
      <c r="N28" s="9"/>
      <c r="O28" s="9"/>
      <c r="P28" s="9"/>
      <c r="Q28" s="9"/>
      <c r="R28" s="4">
        <f t="shared" si="0"/>
        <v>0.42857142857142855</v>
      </c>
      <c r="S28" s="3">
        <f t="shared" si="1"/>
        <v>150</v>
      </c>
    </row>
    <row r="29" spans="1:19" x14ac:dyDescent="0.2">
      <c r="A29" s="8" t="s">
        <v>77</v>
      </c>
      <c r="B29" s="8" t="s">
        <v>57</v>
      </c>
      <c r="C29" s="8" t="s">
        <v>66</v>
      </c>
      <c r="D29" s="9">
        <v>1</v>
      </c>
      <c r="E29" s="9">
        <v>150</v>
      </c>
      <c r="F29" s="9">
        <v>0</v>
      </c>
      <c r="G29" s="9">
        <v>0</v>
      </c>
      <c r="H29" s="9">
        <v>1</v>
      </c>
      <c r="I29" s="9">
        <v>0</v>
      </c>
      <c r="J29" s="9"/>
      <c r="K29" s="9"/>
      <c r="L29" s="9"/>
      <c r="M29" s="9"/>
      <c r="N29" s="9"/>
      <c r="O29" s="9"/>
      <c r="P29" s="9"/>
      <c r="Q29" s="9"/>
      <c r="R29" s="4">
        <f t="shared" si="0"/>
        <v>0.2857142857142857</v>
      </c>
      <c r="S29" s="3">
        <f t="shared" si="1"/>
        <v>150</v>
      </c>
    </row>
    <row r="30" spans="1:19" x14ac:dyDescent="0.2">
      <c r="A30" s="8" t="s">
        <v>80</v>
      </c>
      <c r="B30" s="8" t="s">
        <v>81</v>
      </c>
      <c r="C30" s="8" t="s">
        <v>66</v>
      </c>
      <c r="D30" s="9">
        <v>1</v>
      </c>
      <c r="E30" s="9">
        <v>150</v>
      </c>
      <c r="F30" s="9">
        <v>1</v>
      </c>
      <c r="G30" s="9">
        <v>0</v>
      </c>
      <c r="H30" s="9">
        <v>1</v>
      </c>
      <c r="I30" s="9">
        <v>0</v>
      </c>
      <c r="J30" s="9"/>
      <c r="K30" s="9"/>
      <c r="L30" s="9"/>
      <c r="M30" s="9"/>
      <c r="N30" s="9"/>
      <c r="O30" s="9"/>
      <c r="P30" s="9"/>
      <c r="Q30" s="9"/>
      <c r="R30" s="4">
        <f t="shared" si="0"/>
        <v>0.42857142857142855</v>
      </c>
      <c r="S30" s="3">
        <f t="shared" si="1"/>
        <v>150</v>
      </c>
    </row>
    <row r="31" spans="1:19" x14ac:dyDescent="0.2">
      <c r="A31" s="8" t="s">
        <v>97</v>
      </c>
      <c r="B31" s="8" t="s">
        <v>98</v>
      </c>
      <c r="C31" s="8" t="s">
        <v>66</v>
      </c>
      <c r="D31" s="9">
        <v>1</v>
      </c>
      <c r="E31" s="9">
        <v>150</v>
      </c>
      <c r="F31" s="9">
        <v>0</v>
      </c>
      <c r="G31" s="9">
        <v>0</v>
      </c>
      <c r="H31" s="9">
        <v>0</v>
      </c>
      <c r="I31" s="9">
        <v>0</v>
      </c>
      <c r="J31" s="9"/>
      <c r="K31" s="9"/>
      <c r="L31" s="9"/>
      <c r="M31" s="9"/>
      <c r="N31" s="9"/>
      <c r="O31" s="9"/>
      <c r="P31" s="9"/>
      <c r="Q31" s="9"/>
      <c r="R31" s="4">
        <f t="shared" si="0"/>
        <v>0.14285714285714285</v>
      </c>
      <c r="S31" s="3">
        <f t="shared" si="1"/>
        <v>150</v>
      </c>
    </row>
    <row r="32" spans="1:19" x14ac:dyDescent="0.2">
      <c r="A32" s="8" t="s">
        <v>101</v>
      </c>
      <c r="B32" s="8" t="s">
        <v>102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1</v>
      </c>
      <c r="I32" s="9">
        <v>0</v>
      </c>
      <c r="J32" s="9"/>
      <c r="K32" s="9"/>
      <c r="L32" s="9"/>
      <c r="M32" s="9"/>
      <c r="N32" s="9"/>
      <c r="O32" s="9"/>
      <c r="P32" s="9"/>
      <c r="Q32" s="9"/>
      <c r="R32" s="4">
        <f t="shared" si="0"/>
        <v>0.2857142857142857</v>
      </c>
      <c r="S32" s="3">
        <f t="shared" si="1"/>
        <v>150</v>
      </c>
    </row>
    <row r="33" spans="1:19" x14ac:dyDescent="0.2">
      <c r="A33" s="8" t="s">
        <v>34</v>
      </c>
      <c r="B33" s="8" t="s">
        <v>35</v>
      </c>
      <c r="C33" s="8" t="s">
        <v>36</v>
      </c>
      <c r="D33" s="9">
        <v>1</v>
      </c>
      <c r="E33" s="9">
        <v>50</v>
      </c>
      <c r="F33" s="9">
        <v>1</v>
      </c>
      <c r="G33" s="9">
        <v>0</v>
      </c>
      <c r="H33" s="9">
        <v>0</v>
      </c>
      <c r="I33" s="9">
        <v>0</v>
      </c>
      <c r="J33" s="9"/>
      <c r="K33" s="9"/>
      <c r="L33" s="9"/>
      <c r="M33" s="9"/>
      <c r="N33" s="9"/>
      <c r="O33" s="9"/>
      <c r="P33" s="9"/>
      <c r="Q33" s="9"/>
      <c r="R33" s="4">
        <f t="shared" si="0"/>
        <v>0.2857142857142857</v>
      </c>
      <c r="S33" s="3">
        <f t="shared" si="1"/>
        <v>50</v>
      </c>
    </row>
    <row r="34" spans="1:19" x14ac:dyDescent="0.2">
      <c r="A34" s="8" t="s">
        <v>39</v>
      </c>
      <c r="B34" s="8" t="s">
        <v>40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1</v>
      </c>
      <c r="I34" s="9">
        <v>0</v>
      </c>
      <c r="J34" s="9"/>
      <c r="K34" s="9"/>
      <c r="L34" s="9"/>
      <c r="M34" s="9"/>
      <c r="N34" s="9"/>
      <c r="O34" s="9"/>
      <c r="P34" s="9"/>
      <c r="Q34" s="9"/>
      <c r="R34" s="4">
        <f t="shared" si="0"/>
        <v>0.42857142857142855</v>
      </c>
      <c r="S34" s="3">
        <f t="shared" si="1"/>
        <v>50</v>
      </c>
    </row>
    <row r="35" spans="1:19" x14ac:dyDescent="0.2">
      <c r="A35" s="8" t="s">
        <v>106</v>
      </c>
      <c r="B35" s="8" t="s">
        <v>107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/>
      <c r="K35" s="9"/>
      <c r="L35" s="9"/>
      <c r="M35" s="9"/>
      <c r="N35" s="9"/>
      <c r="O35" s="9"/>
      <c r="P35" s="9"/>
      <c r="Q35" s="9"/>
      <c r="R35" s="4">
        <f t="shared" ref="R35:R63" si="2">(D35+F35+H35+J35+L35+N35+P35)/7</f>
        <v>0.42857142857142855</v>
      </c>
      <c r="S35" s="3">
        <f t="shared" ref="S35:S63" si="3">E35+G35+I35+K35+M35+O35+Q35</f>
        <v>50</v>
      </c>
    </row>
    <row r="36" spans="1:19" x14ac:dyDescent="0.2">
      <c r="A36" s="8" t="s">
        <v>110</v>
      </c>
      <c r="B36" s="8" t="s">
        <v>113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/>
      <c r="K36" s="9"/>
      <c r="L36" s="9"/>
      <c r="M36" s="9"/>
      <c r="N36" s="9"/>
      <c r="O36" s="9"/>
      <c r="P36" s="9"/>
      <c r="Q36" s="9"/>
      <c r="R36" s="4">
        <f t="shared" si="2"/>
        <v>0.42857142857142855</v>
      </c>
      <c r="S36" s="3">
        <f t="shared" si="3"/>
        <v>50</v>
      </c>
    </row>
    <row r="37" spans="1:19" x14ac:dyDescent="0.2">
      <c r="A37" s="8" t="s">
        <v>58</v>
      </c>
      <c r="B37" s="8" t="s">
        <v>59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0</v>
      </c>
      <c r="I37" s="9">
        <v>0</v>
      </c>
      <c r="J37" s="9"/>
      <c r="K37" s="9"/>
      <c r="L37" s="9"/>
      <c r="M37" s="9"/>
      <c r="N37" s="9"/>
      <c r="O37" s="9"/>
      <c r="P37" s="9"/>
      <c r="Q37" s="9"/>
      <c r="R37" s="4">
        <f t="shared" si="2"/>
        <v>0.2857142857142857</v>
      </c>
      <c r="S37" s="3">
        <f t="shared" si="3"/>
        <v>50</v>
      </c>
    </row>
    <row r="38" spans="1:19" x14ac:dyDescent="0.2">
      <c r="A38" s="8" t="s">
        <v>90</v>
      </c>
      <c r="B38" s="8" t="s">
        <v>89</v>
      </c>
      <c r="C38" s="8" t="s">
        <v>36</v>
      </c>
      <c r="D38" s="9">
        <v>1</v>
      </c>
      <c r="E38" s="9">
        <v>50</v>
      </c>
      <c r="F38" s="9">
        <v>0</v>
      </c>
      <c r="G38" s="9">
        <v>0</v>
      </c>
      <c r="H38" s="9">
        <v>1</v>
      </c>
      <c r="I38" s="9">
        <v>0</v>
      </c>
      <c r="J38" s="9"/>
      <c r="K38" s="9"/>
      <c r="L38" s="9"/>
      <c r="M38" s="9"/>
      <c r="N38" s="9"/>
      <c r="O38" s="9"/>
      <c r="P38" s="9"/>
      <c r="Q38" s="9"/>
      <c r="R38" s="4">
        <f t="shared" si="2"/>
        <v>0.2857142857142857</v>
      </c>
      <c r="S38" s="3">
        <f t="shared" si="3"/>
        <v>50</v>
      </c>
    </row>
    <row r="39" spans="1:19" x14ac:dyDescent="0.2">
      <c r="A39" s="8" t="s">
        <v>62</v>
      </c>
      <c r="B39" s="8" t="s">
        <v>63</v>
      </c>
      <c r="C39" s="8" t="s">
        <v>36</v>
      </c>
      <c r="D39" s="9">
        <v>1</v>
      </c>
      <c r="E39" s="9">
        <v>50</v>
      </c>
      <c r="F39" s="9">
        <v>1</v>
      </c>
      <c r="G39" s="9">
        <v>0</v>
      </c>
      <c r="H39" s="9">
        <v>0</v>
      </c>
      <c r="I39" s="9">
        <v>0</v>
      </c>
      <c r="J39" s="9"/>
      <c r="K39" s="9"/>
      <c r="L39" s="9"/>
      <c r="M39" s="9"/>
      <c r="N39" s="9"/>
      <c r="O39" s="9"/>
      <c r="P39" s="9"/>
      <c r="Q39" s="9"/>
      <c r="R39" s="4">
        <f t="shared" si="2"/>
        <v>0.2857142857142857</v>
      </c>
      <c r="S39" s="3">
        <f t="shared" si="3"/>
        <v>50</v>
      </c>
    </row>
    <row r="40" spans="1:19" x14ac:dyDescent="0.2">
      <c r="A40" s="8" t="s">
        <v>111</v>
      </c>
      <c r="B40" s="8" t="s">
        <v>112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1</v>
      </c>
      <c r="I40" s="9">
        <v>0</v>
      </c>
      <c r="J40" s="9"/>
      <c r="K40" s="9"/>
      <c r="L40" s="9"/>
      <c r="M40" s="9"/>
      <c r="N40" s="9"/>
      <c r="O40" s="9"/>
      <c r="P40" s="9"/>
      <c r="Q40" s="9"/>
      <c r="R40" s="4">
        <f t="shared" si="2"/>
        <v>0.42857142857142855</v>
      </c>
      <c r="S40" s="3">
        <f t="shared" si="3"/>
        <v>50</v>
      </c>
    </row>
    <row r="41" spans="1:19" x14ac:dyDescent="0.2">
      <c r="A41" s="8" t="s">
        <v>91</v>
      </c>
      <c r="B41" s="8" t="s">
        <v>92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0</v>
      </c>
      <c r="I41" s="9">
        <v>0</v>
      </c>
      <c r="J41" s="9"/>
      <c r="K41" s="9"/>
      <c r="L41" s="9"/>
      <c r="M41" s="9"/>
      <c r="N41" s="9"/>
      <c r="O41" s="9"/>
      <c r="P41" s="9"/>
      <c r="Q41" s="9"/>
      <c r="R41" s="4">
        <f t="shared" si="2"/>
        <v>0.2857142857142857</v>
      </c>
      <c r="S41" s="3">
        <f t="shared" si="3"/>
        <v>50</v>
      </c>
    </row>
    <row r="42" spans="1:19" x14ac:dyDescent="0.2">
      <c r="A42" s="8" t="s">
        <v>93</v>
      </c>
      <c r="B42" s="8" t="s">
        <v>94</v>
      </c>
      <c r="C42" s="8" t="s">
        <v>36</v>
      </c>
      <c r="D42" s="9">
        <v>1</v>
      </c>
      <c r="E42" s="9">
        <v>50</v>
      </c>
      <c r="F42" s="9">
        <v>0</v>
      </c>
      <c r="G42" s="9">
        <v>0</v>
      </c>
      <c r="H42" s="9">
        <v>0</v>
      </c>
      <c r="I42" s="9">
        <v>0</v>
      </c>
      <c r="J42" s="9"/>
      <c r="K42" s="9"/>
      <c r="L42" s="9"/>
      <c r="M42" s="9"/>
      <c r="N42" s="9"/>
      <c r="O42" s="9"/>
      <c r="P42" s="9"/>
      <c r="Q42" s="9"/>
      <c r="R42" s="4">
        <f t="shared" si="2"/>
        <v>0.14285714285714285</v>
      </c>
      <c r="S42" s="3">
        <f t="shared" si="3"/>
        <v>50</v>
      </c>
    </row>
    <row r="43" spans="1:19" x14ac:dyDescent="0.2">
      <c r="A43" s="8" t="s">
        <v>146</v>
      </c>
      <c r="B43" s="8" t="s">
        <v>138</v>
      </c>
      <c r="C43" s="8" t="s">
        <v>149</v>
      </c>
      <c r="D43" s="9">
        <v>0</v>
      </c>
      <c r="E43" s="9">
        <v>50</v>
      </c>
      <c r="F43" s="9">
        <v>1</v>
      </c>
      <c r="G43" s="9">
        <v>0</v>
      </c>
      <c r="H43" s="17">
        <v>1</v>
      </c>
      <c r="I43" s="17">
        <v>-5</v>
      </c>
      <c r="J43" s="17"/>
      <c r="K43" s="17"/>
      <c r="L43" s="17"/>
      <c r="M43" s="17"/>
      <c r="N43" s="17"/>
      <c r="O43" s="17"/>
      <c r="P43" s="17"/>
      <c r="Q43" s="17"/>
      <c r="R43" s="4">
        <f t="shared" si="2"/>
        <v>0.2857142857142857</v>
      </c>
      <c r="S43" s="3">
        <f t="shared" si="3"/>
        <v>45</v>
      </c>
    </row>
    <row r="44" spans="1:19" x14ac:dyDescent="0.2">
      <c r="A44" s="8" t="s">
        <v>136</v>
      </c>
      <c r="B44" s="8" t="s">
        <v>145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/>
      <c r="K44" s="17"/>
      <c r="L44" s="17"/>
      <c r="M44" s="17"/>
      <c r="N44" s="17"/>
      <c r="O44" s="17"/>
      <c r="P44" s="17"/>
      <c r="Q44" s="17"/>
      <c r="R44" s="4">
        <f t="shared" si="2"/>
        <v>0.2857142857142857</v>
      </c>
      <c r="S44" s="3">
        <f t="shared" si="3"/>
        <v>45</v>
      </c>
    </row>
    <row r="45" spans="1:19" x14ac:dyDescent="0.2">
      <c r="A45" s="8" t="s">
        <v>147</v>
      </c>
      <c r="B45" s="8" t="s">
        <v>53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0</v>
      </c>
      <c r="I45" s="17">
        <v>-5</v>
      </c>
      <c r="J45" s="17"/>
      <c r="K45" s="17"/>
      <c r="L45" s="17"/>
      <c r="M45" s="17"/>
      <c r="N45" s="17"/>
      <c r="O45" s="17"/>
      <c r="P45" s="17"/>
      <c r="Q45" s="17"/>
      <c r="R45" s="4">
        <f t="shared" si="2"/>
        <v>0.14285714285714285</v>
      </c>
      <c r="S45" s="3">
        <f t="shared" si="3"/>
        <v>45</v>
      </c>
    </row>
    <row r="46" spans="1:19" x14ac:dyDescent="0.2">
      <c r="A46" s="10" t="s">
        <v>148</v>
      </c>
      <c r="B46" s="10" t="s">
        <v>150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1</v>
      </c>
      <c r="I46" s="17">
        <v>-5</v>
      </c>
      <c r="R46" s="4">
        <f t="shared" si="2"/>
        <v>0.2857142857142857</v>
      </c>
      <c r="S46" s="12">
        <f t="shared" si="3"/>
        <v>45</v>
      </c>
    </row>
    <row r="47" spans="1:19" x14ac:dyDescent="0.2">
      <c r="A47" s="10" t="s">
        <v>45</v>
      </c>
      <c r="B47" s="10" t="s">
        <v>46</v>
      </c>
      <c r="C47" s="10" t="s">
        <v>47</v>
      </c>
      <c r="D47" s="11">
        <v>1</v>
      </c>
      <c r="E47" s="11">
        <v>50</v>
      </c>
      <c r="F47" s="9">
        <v>1</v>
      </c>
      <c r="G47" s="13">
        <v>0</v>
      </c>
      <c r="H47" s="13">
        <v>1</v>
      </c>
      <c r="I47" s="13">
        <v>100</v>
      </c>
      <c r="J47" s="13"/>
      <c r="K47" s="13"/>
      <c r="L47" s="13"/>
      <c r="M47" s="13"/>
      <c r="N47" s="13"/>
      <c r="O47" s="13"/>
      <c r="P47" s="13"/>
      <c r="Q47" s="13"/>
      <c r="R47" s="4">
        <f t="shared" si="2"/>
        <v>0.42857142857142855</v>
      </c>
      <c r="S47" s="12">
        <f t="shared" si="3"/>
        <v>150</v>
      </c>
    </row>
    <row r="48" spans="1:19" x14ac:dyDescent="0.2">
      <c r="A48" s="10" t="s">
        <v>48</v>
      </c>
      <c r="B48" s="10" t="s">
        <v>49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/>
      <c r="K48" s="13"/>
      <c r="L48" s="13"/>
      <c r="M48" s="13"/>
      <c r="N48" s="13"/>
      <c r="O48" s="13"/>
      <c r="P48" s="13"/>
      <c r="Q48" s="13"/>
      <c r="R48" s="4">
        <f t="shared" si="2"/>
        <v>0.42857142857142855</v>
      </c>
      <c r="S48" s="12">
        <f t="shared" si="3"/>
        <v>150</v>
      </c>
    </row>
    <row r="49" spans="1:19" x14ac:dyDescent="0.2">
      <c r="A49" s="10" t="s">
        <v>50</v>
      </c>
      <c r="B49" s="10" t="s">
        <v>51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/>
      <c r="K49" s="13"/>
      <c r="L49" s="13"/>
      <c r="M49" s="13"/>
      <c r="N49" s="13"/>
      <c r="O49" s="13"/>
      <c r="P49" s="13"/>
      <c r="Q49" s="13"/>
      <c r="R49" s="4">
        <f t="shared" si="2"/>
        <v>0.42857142857142855</v>
      </c>
      <c r="S49" s="12">
        <f t="shared" si="3"/>
        <v>150</v>
      </c>
    </row>
    <row r="50" spans="1:19" x14ac:dyDescent="0.2">
      <c r="A50" s="10" t="s">
        <v>54</v>
      </c>
      <c r="B50" s="10" t="s">
        <v>55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/>
      <c r="K50" s="13"/>
      <c r="L50" s="13"/>
      <c r="M50" s="13"/>
      <c r="N50" s="13"/>
      <c r="O50" s="13"/>
      <c r="P50" s="13"/>
      <c r="Q50" s="13"/>
      <c r="R50" s="4">
        <f t="shared" si="2"/>
        <v>0.42857142857142855</v>
      </c>
      <c r="S50" s="12">
        <f t="shared" si="3"/>
        <v>150</v>
      </c>
    </row>
    <row r="51" spans="1:19" x14ac:dyDescent="0.2">
      <c r="A51" s="10" t="s">
        <v>83</v>
      </c>
      <c r="B51" s="10" t="s">
        <v>84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/>
      <c r="K51" s="13"/>
      <c r="L51" s="13"/>
      <c r="M51" s="13"/>
      <c r="N51" s="13"/>
      <c r="O51" s="13"/>
      <c r="P51" s="13"/>
      <c r="Q51" s="13"/>
      <c r="R51" s="4">
        <f t="shared" si="2"/>
        <v>0.42857142857142855</v>
      </c>
      <c r="S51" s="14">
        <f t="shared" si="3"/>
        <v>150</v>
      </c>
    </row>
    <row r="52" spans="1:19" x14ac:dyDescent="0.2">
      <c r="A52" s="10" t="s">
        <v>99</v>
      </c>
      <c r="B52" s="10" t="s">
        <v>100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/>
      <c r="K52" s="13"/>
      <c r="L52" s="13"/>
      <c r="M52" s="13"/>
      <c r="N52" s="13"/>
      <c r="O52" s="13"/>
      <c r="P52" s="13"/>
      <c r="Q52" s="13"/>
      <c r="R52" s="4">
        <f t="shared" si="2"/>
        <v>0.42857142857142855</v>
      </c>
      <c r="S52" s="14">
        <f t="shared" si="3"/>
        <v>150</v>
      </c>
    </row>
    <row r="53" spans="1:19" x14ac:dyDescent="0.2">
      <c r="A53" s="10" t="s">
        <v>104</v>
      </c>
      <c r="B53" s="10" t="s">
        <v>105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/>
      <c r="K53" s="13"/>
      <c r="L53" s="13"/>
      <c r="M53" s="13"/>
      <c r="N53" s="13"/>
      <c r="O53" s="13"/>
      <c r="P53" s="13"/>
      <c r="Q53" s="13"/>
      <c r="R53" s="4">
        <f t="shared" si="2"/>
        <v>0.42857142857142855</v>
      </c>
      <c r="S53" s="14">
        <f t="shared" si="3"/>
        <v>150</v>
      </c>
    </row>
    <row r="54" spans="1:19" x14ac:dyDescent="0.2">
      <c r="A54" s="10" t="s">
        <v>26</v>
      </c>
      <c r="B54" s="10" t="s">
        <v>27</v>
      </c>
      <c r="C54" s="10" t="s">
        <v>28</v>
      </c>
      <c r="D54" s="11">
        <v>1</v>
      </c>
      <c r="E54" s="11">
        <v>50</v>
      </c>
      <c r="F54" s="9">
        <v>1</v>
      </c>
      <c r="G54" s="13">
        <v>15</v>
      </c>
      <c r="H54" s="13">
        <v>1</v>
      </c>
      <c r="I54" s="13">
        <v>0</v>
      </c>
      <c r="J54" s="13"/>
      <c r="K54" s="13"/>
      <c r="L54" s="13"/>
      <c r="M54" s="13"/>
      <c r="N54" s="13"/>
      <c r="O54" s="13"/>
      <c r="P54" s="13"/>
      <c r="Q54" s="13"/>
      <c r="R54" s="4">
        <f t="shared" si="2"/>
        <v>0.42857142857142855</v>
      </c>
      <c r="S54" s="14">
        <f t="shared" si="3"/>
        <v>65</v>
      </c>
    </row>
    <row r="55" spans="1:19" x14ac:dyDescent="0.2">
      <c r="A55" s="10" t="s">
        <v>52</v>
      </c>
      <c r="B55" s="10" t="s">
        <v>53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0</v>
      </c>
      <c r="I55" s="13">
        <v>0</v>
      </c>
      <c r="J55" s="13"/>
      <c r="K55" s="13"/>
      <c r="L55" s="13"/>
      <c r="M55" s="13"/>
      <c r="N55" s="13"/>
      <c r="O55" s="13"/>
      <c r="P55" s="13"/>
      <c r="Q55" s="13"/>
      <c r="R55" s="4">
        <f t="shared" si="2"/>
        <v>0.2857142857142857</v>
      </c>
      <c r="S55" s="14">
        <f t="shared" si="3"/>
        <v>65</v>
      </c>
    </row>
    <row r="56" spans="1:19" x14ac:dyDescent="0.2">
      <c r="A56" s="10" t="s">
        <v>108</v>
      </c>
      <c r="B56" s="10" t="s">
        <v>109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/>
      <c r="K56" s="13"/>
      <c r="L56" s="13"/>
      <c r="M56" s="13"/>
      <c r="N56" s="13"/>
      <c r="O56" s="13"/>
      <c r="P56" s="13"/>
      <c r="Q56" s="13"/>
      <c r="R56" s="4">
        <f t="shared" si="2"/>
        <v>0.2857142857142857</v>
      </c>
      <c r="S56" s="14">
        <f t="shared" si="3"/>
        <v>65</v>
      </c>
    </row>
    <row r="57" spans="1:19" x14ac:dyDescent="0.2">
      <c r="A57" s="10" t="s">
        <v>56</v>
      </c>
      <c r="B57" s="10" t="s">
        <v>57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1</v>
      </c>
      <c r="I57" s="13">
        <v>0</v>
      </c>
      <c r="J57" s="13"/>
      <c r="K57" s="13"/>
      <c r="L57" s="13"/>
      <c r="M57" s="13"/>
      <c r="N57" s="13"/>
      <c r="O57" s="13"/>
      <c r="P57" s="13"/>
      <c r="Q57" s="13"/>
      <c r="R57" s="4">
        <f t="shared" si="2"/>
        <v>0.42857142857142855</v>
      </c>
      <c r="S57" s="14">
        <f t="shared" si="3"/>
        <v>65</v>
      </c>
    </row>
    <row r="58" spans="1:19" x14ac:dyDescent="0.2">
      <c r="A58" s="10" t="s">
        <v>60</v>
      </c>
      <c r="B58" s="10" t="s">
        <v>61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/>
      <c r="K58" s="13"/>
      <c r="L58" s="13"/>
      <c r="M58" s="13"/>
      <c r="N58" s="13"/>
      <c r="O58" s="13"/>
      <c r="P58" s="13"/>
      <c r="Q58" s="13"/>
      <c r="R58" s="4">
        <f t="shared" si="2"/>
        <v>0.42857142857142855</v>
      </c>
      <c r="S58" s="14">
        <f t="shared" si="3"/>
        <v>65</v>
      </c>
    </row>
    <row r="59" spans="1:19" x14ac:dyDescent="0.2">
      <c r="A59" s="10" t="s">
        <v>67</v>
      </c>
      <c r="B59" s="10" t="s">
        <v>68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/>
      <c r="K59" s="13"/>
      <c r="L59" s="13"/>
      <c r="M59" s="13"/>
      <c r="N59" s="13"/>
      <c r="O59" s="13"/>
      <c r="P59" s="13"/>
      <c r="Q59" s="13"/>
      <c r="R59" s="4">
        <f t="shared" si="2"/>
        <v>0.42857142857142855</v>
      </c>
      <c r="S59" s="14">
        <f t="shared" si="3"/>
        <v>65</v>
      </c>
    </row>
    <row r="60" spans="1:19" x14ac:dyDescent="0.2">
      <c r="A60" s="10" t="s">
        <v>73</v>
      </c>
      <c r="B60" s="10" t="s">
        <v>74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/>
      <c r="K60" s="13"/>
      <c r="L60" s="13"/>
      <c r="M60" s="13"/>
      <c r="N60" s="13"/>
      <c r="O60" s="13"/>
      <c r="P60" s="13"/>
      <c r="Q60" s="13"/>
      <c r="R60" s="16">
        <f t="shared" si="2"/>
        <v>0.42857142857142855</v>
      </c>
      <c r="S60" s="14">
        <f t="shared" si="3"/>
        <v>65</v>
      </c>
    </row>
    <row r="61" spans="1:19" x14ac:dyDescent="0.2">
      <c r="A61" s="10" t="s">
        <v>87</v>
      </c>
      <c r="B61" s="10" t="s">
        <v>88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/>
      <c r="K61" s="13"/>
      <c r="L61" s="13"/>
      <c r="M61" s="13"/>
      <c r="N61" s="13"/>
      <c r="O61" s="13"/>
      <c r="P61" s="13"/>
      <c r="Q61" s="13"/>
      <c r="R61" s="16">
        <f t="shared" si="2"/>
        <v>0.42857142857142855</v>
      </c>
      <c r="S61" s="14">
        <f t="shared" si="3"/>
        <v>65</v>
      </c>
    </row>
    <row r="62" spans="1:19" x14ac:dyDescent="0.2">
      <c r="A62" s="10" t="s">
        <v>95</v>
      </c>
      <c r="B62" s="10" t="s">
        <v>96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/>
      <c r="K62" s="13"/>
      <c r="L62" s="13"/>
      <c r="M62" s="13"/>
      <c r="N62" s="13"/>
      <c r="O62" s="13"/>
      <c r="P62" s="13"/>
      <c r="Q62" s="13"/>
      <c r="R62" s="16">
        <f t="shared" si="2"/>
        <v>0.42857142857142855</v>
      </c>
      <c r="S62" s="14">
        <f t="shared" si="3"/>
        <v>65</v>
      </c>
    </row>
    <row r="63" spans="1:19" x14ac:dyDescent="0.2">
      <c r="A63" s="10" t="s">
        <v>103</v>
      </c>
      <c r="B63" s="10" t="s">
        <v>86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/>
      <c r="K63" s="13"/>
      <c r="L63" s="13"/>
      <c r="M63" s="13"/>
      <c r="N63" s="13"/>
      <c r="O63" s="13"/>
      <c r="P63" s="13"/>
      <c r="Q63" s="13"/>
      <c r="R63" s="16">
        <f t="shared" si="2"/>
        <v>0.42857142857142855</v>
      </c>
      <c r="S63" s="14">
        <f t="shared" si="3"/>
        <v>65</v>
      </c>
    </row>
  </sheetData>
  <autoFilter ref="F1:F59" xr:uid="{00000000-0001-0000-0000-000000000000}"/>
  <sortState xmlns:xlrd2="http://schemas.microsoft.com/office/spreadsheetml/2017/richdata2" ref="A3:S65">
    <sortCondition ref="C2:C65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tabSelected="1" zoomScale="150" workbookViewId="0">
      <selection activeCell="B3" sqref="B3:B12"/>
      <pivotSelection pane="bottomRight" showHeader="1" extendable="1" max="2" activeRow="2" activeCol="1" click="1" r:id="rId1">
        <pivotArea dataOnly="0" outline="0" fieldPosition="0">
          <references count="1">
            <reference field="4294967294" count="1">
              <x v="0"/>
            </reference>
          </references>
        </pivotArea>
      </pivotSelection>
    </sheetView>
  </sheetViews>
  <sheetFormatPr baseColWidth="10" defaultRowHeight="15" x14ac:dyDescent="0.2"/>
  <cols>
    <col min="1" max="1" width="22.33203125" bestFit="1" customWidth="1"/>
    <col min="2" max="2" width="12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123</v>
      </c>
      <c r="B4" s="26">
        <v>95</v>
      </c>
      <c r="C4" s="7">
        <v>0.4081632653061224</v>
      </c>
    </row>
    <row r="5" spans="1:3" x14ac:dyDescent="0.2">
      <c r="A5" s="6" t="s">
        <v>135</v>
      </c>
      <c r="B5" s="26">
        <v>50</v>
      </c>
      <c r="C5" s="7">
        <v>0.36734693877551017</v>
      </c>
    </row>
    <row r="6" spans="1:3" x14ac:dyDescent="0.2">
      <c r="A6" s="6" t="s">
        <v>31</v>
      </c>
      <c r="B6" s="26">
        <v>215</v>
      </c>
      <c r="C6" s="7">
        <v>0.39999999999999991</v>
      </c>
    </row>
    <row r="7" spans="1:3" x14ac:dyDescent="0.2">
      <c r="A7" s="6" t="s">
        <v>66</v>
      </c>
      <c r="B7" s="26">
        <v>150</v>
      </c>
      <c r="C7" s="7">
        <v>0.30952380952380948</v>
      </c>
    </row>
    <row r="8" spans="1:3" x14ac:dyDescent="0.2">
      <c r="A8" s="6" t="s">
        <v>36</v>
      </c>
      <c r="B8" s="26">
        <v>50</v>
      </c>
      <c r="C8" s="7">
        <v>0.32857142857142851</v>
      </c>
    </row>
    <row r="9" spans="1:3" x14ac:dyDescent="0.2">
      <c r="A9" s="6" t="s">
        <v>149</v>
      </c>
      <c r="B9" s="26">
        <v>45</v>
      </c>
      <c r="C9" s="7">
        <v>0.24999999999999997</v>
      </c>
    </row>
    <row r="10" spans="1:3" x14ac:dyDescent="0.2">
      <c r="A10" s="6" t="s">
        <v>47</v>
      </c>
      <c r="B10" s="26">
        <v>150</v>
      </c>
      <c r="C10" s="7">
        <v>0.42857142857142849</v>
      </c>
    </row>
    <row r="11" spans="1:3" x14ac:dyDescent="0.2">
      <c r="A11" s="6" t="s">
        <v>28</v>
      </c>
      <c r="B11" s="26">
        <v>65</v>
      </c>
      <c r="C11" s="7">
        <v>0.39999999999999991</v>
      </c>
    </row>
    <row r="12" spans="1:3" x14ac:dyDescent="0.2">
      <c r="A12" s="6" t="s">
        <v>117</v>
      </c>
      <c r="B12" s="26">
        <v>105.65573770491804</v>
      </c>
      <c r="C12" s="7">
        <v>0.37002341920374682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2026-04-12T09:41:11Z</dcterms:modified>
</cp:coreProperties>
</file>