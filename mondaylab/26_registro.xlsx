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iovanbattistacalifano/Documents/Lavoro/Varie/gibi/mondaylab/"/>
    </mc:Choice>
  </mc:AlternateContent>
  <xr:revisionPtr revIDLastSave="0" documentId="13_ncr:1_{B7D85335-8263-2D4D-A45C-A8416E806D11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Registro" sheetId="1" r:id="rId1"/>
    <sheet name="Foglio1" sheetId="3" r:id="rId2"/>
  </sheets>
  <definedNames>
    <definedName name="_xlnm._FilterDatabase" localSheetId="0" hidden="1">Registro!$F$1:$F$59</definedName>
  </definedName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R10" i="1"/>
  <c r="S47" i="1"/>
  <c r="S46" i="1"/>
  <c r="S44" i="1"/>
  <c r="S45" i="1"/>
  <c r="R47" i="1"/>
  <c r="R46" i="1"/>
  <c r="R44" i="1"/>
  <c r="R45" i="1"/>
  <c r="S4" i="1"/>
  <c r="S5" i="1"/>
  <c r="S6" i="1"/>
  <c r="S7" i="1"/>
  <c r="S8" i="1"/>
  <c r="S9" i="1"/>
  <c r="S11" i="1"/>
  <c r="S12" i="1"/>
  <c r="S13" i="1"/>
  <c r="S14" i="1"/>
  <c r="S15" i="1"/>
  <c r="S16" i="1"/>
  <c r="S17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4" i="1"/>
  <c r="R5" i="1"/>
  <c r="R6" i="1"/>
  <c r="R7" i="1"/>
  <c r="R8" i="1"/>
  <c r="R9" i="1"/>
  <c r="S3" i="1"/>
  <c r="R3" i="1"/>
  <c r="S54" i="1"/>
  <c r="S64" i="1"/>
  <c r="S33" i="1"/>
  <c r="S53" i="1"/>
  <c r="S32" i="1"/>
  <c r="S63" i="1"/>
  <c r="S43" i="1"/>
  <c r="S42" i="1"/>
  <c r="S39" i="1"/>
  <c r="S62" i="1"/>
  <c r="S27" i="1"/>
  <c r="S52" i="1"/>
  <c r="S26" i="1"/>
  <c r="S31" i="1"/>
  <c r="S41" i="1"/>
  <c r="S25" i="1"/>
  <c r="S30" i="1"/>
  <c r="S29" i="1"/>
  <c r="S61" i="1"/>
  <c r="S24" i="1"/>
  <c r="S23" i="1"/>
  <c r="S60" i="1"/>
  <c r="S28" i="1"/>
  <c r="S40" i="1"/>
  <c r="S59" i="1"/>
  <c r="S38" i="1"/>
  <c r="S58" i="1"/>
  <c r="S51" i="1"/>
  <c r="S37" i="1"/>
  <c r="S57" i="1"/>
  <c r="S36" i="1"/>
  <c r="S56" i="1"/>
  <c r="S50" i="1"/>
  <c r="S49" i="1"/>
  <c r="S48" i="1"/>
  <c r="S22" i="1"/>
  <c r="S21" i="1"/>
  <c r="S35" i="1"/>
  <c r="S20" i="1"/>
  <c r="S34" i="1"/>
  <c r="S19" i="1"/>
  <c r="S18" i="1"/>
  <c r="S55" i="1"/>
</calcChain>
</file>

<file path=xl/sharedStrings.xml><?xml version="1.0" encoding="utf-8"?>
<sst xmlns="http://schemas.openxmlformats.org/spreadsheetml/2006/main" count="226" uniqueCount="153">
  <si>
    <t>Anagrafica</t>
  </si>
  <si>
    <t>Lab 1</t>
  </si>
  <si>
    <t>Lab 2</t>
  </si>
  <si>
    <t>Lab 3</t>
  </si>
  <si>
    <t>Lab 4</t>
  </si>
  <si>
    <t>Lab 5</t>
  </si>
  <si>
    <t>Lab 6</t>
  </si>
  <si>
    <t>Lab 7</t>
  </si>
  <si>
    <t>Totale</t>
  </si>
  <si>
    <t>Cognome</t>
  </si>
  <si>
    <t>Nome</t>
  </si>
  <si>
    <t>Azienda</t>
  </si>
  <si>
    <t>L1 Presenza</t>
  </si>
  <si>
    <t>L1 XP</t>
  </si>
  <si>
    <t>L2 Presenza</t>
  </si>
  <si>
    <t>L2 XP</t>
  </si>
  <si>
    <t>L3 Presenza</t>
  </si>
  <si>
    <t>L3 XP</t>
  </si>
  <si>
    <t>L4 Presenza</t>
  </si>
  <si>
    <t>L4 XP</t>
  </si>
  <si>
    <t>L5 Presenza</t>
  </si>
  <si>
    <t>L5 XP</t>
  </si>
  <si>
    <t>L6 Presenza</t>
  </si>
  <si>
    <t>L6 XP</t>
  </si>
  <si>
    <t>L7 Presenza</t>
  </si>
  <si>
    <t>L7 XP</t>
  </si>
  <si>
    <t>Antico</t>
  </si>
  <si>
    <t>Giorgia</t>
  </si>
  <si>
    <t>VivaFruit</t>
  </si>
  <si>
    <t>Baudrand</t>
  </si>
  <si>
    <t>Iris</t>
  </si>
  <si>
    <t>Maccarò Lab</t>
  </si>
  <si>
    <t>Borreca</t>
  </si>
  <si>
    <t>Paolo</t>
  </si>
  <si>
    <t>Borrelli</t>
  </si>
  <si>
    <t>Nunzia</t>
  </si>
  <si>
    <t>ReFood-Lab</t>
  </si>
  <si>
    <t>Borrione</t>
  </si>
  <si>
    <t>Carlotta</t>
  </si>
  <si>
    <t>Canzolino</t>
  </si>
  <si>
    <t>Carlo</t>
  </si>
  <si>
    <t>Cappelluccio</t>
  </si>
  <si>
    <t>Mario</t>
  </si>
  <si>
    <t>Casale</t>
  </si>
  <si>
    <t>Alessandro</t>
  </si>
  <si>
    <t>Cerundolo</t>
  </si>
  <si>
    <t>Anna</t>
  </si>
  <si>
    <t>Socialbite!</t>
  </si>
  <si>
    <t>Chieti</t>
  </si>
  <si>
    <t>Simona</t>
  </si>
  <si>
    <t>Coda</t>
  </si>
  <si>
    <t>Roberta</t>
  </si>
  <si>
    <t>D'Acunto</t>
  </si>
  <si>
    <t>Luca</t>
  </si>
  <si>
    <t>Dibartolomeo</t>
  </si>
  <si>
    <t>Elisa Diana</t>
  </si>
  <si>
    <t>Ditri</t>
  </si>
  <si>
    <t>Martina</t>
  </si>
  <si>
    <t>Esposito</t>
  </si>
  <si>
    <t>Melissa</t>
  </si>
  <si>
    <t>Fraddanno</t>
  </si>
  <si>
    <t>Filippo</t>
  </si>
  <si>
    <t>Maglietta</t>
  </si>
  <si>
    <t>Giuseppe</t>
  </si>
  <si>
    <t>Maione</t>
  </si>
  <si>
    <t>Barbara</t>
  </si>
  <si>
    <t>Partenope Food Innovation</t>
  </si>
  <si>
    <t>Marciello</t>
  </si>
  <si>
    <t>Miriam</t>
  </si>
  <si>
    <t>Marrazzo</t>
  </si>
  <si>
    <t>Alessia</t>
  </si>
  <si>
    <t>Miles</t>
  </si>
  <si>
    <t>Eva</t>
  </si>
  <si>
    <t>Miranda</t>
  </si>
  <si>
    <t>Sara</t>
  </si>
  <si>
    <t>Nasti</t>
  </si>
  <si>
    <t>Francesca</t>
  </si>
  <si>
    <t>Noviello</t>
  </si>
  <si>
    <t>Parente</t>
  </si>
  <si>
    <t>Maria</t>
  </si>
  <si>
    <t>Pepe</t>
  </si>
  <si>
    <t>Lorenzo</t>
  </si>
  <si>
    <t>Pietropaolo</t>
  </si>
  <si>
    <t>Raduazzo</t>
  </si>
  <si>
    <t>Letizia</t>
  </si>
  <si>
    <t>Rispoli</t>
  </si>
  <si>
    <t>Marco</t>
  </si>
  <si>
    <t>Rolletta</t>
  </si>
  <si>
    <t>Christian</t>
  </si>
  <si>
    <t>Rosanna</t>
  </si>
  <si>
    <t>Ferrante</t>
  </si>
  <si>
    <t>Semioli</t>
  </si>
  <si>
    <t>Stella</t>
  </si>
  <si>
    <t>Siano</t>
  </si>
  <si>
    <t>Gaetano</t>
  </si>
  <si>
    <t>Soriano</t>
  </si>
  <si>
    <t>Leandro</t>
  </si>
  <si>
    <t>Tartaro</t>
  </si>
  <si>
    <t>Ilaria</t>
  </si>
  <si>
    <t>Vable</t>
  </si>
  <si>
    <t>Vittoria</t>
  </si>
  <si>
    <t>Versi</t>
  </si>
  <si>
    <t>Giuseppina</t>
  </si>
  <si>
    <t>Vitale</t>
  </si>
  <si>
    <t>Zito</t>
  </si>
  <si>
    <t>Michelangelo</t>
  </si>
  <si>
    <t>De Siena</t>
  </si>
  <si>
    <t>Daniele Gennaro</t>
  </si>
  <si>
    <t>Di Fiore</t>
  </si>
  <si>
    <t>Manila</t>
  </si>
  <si>
    <t>Di Meglio</t>
  </si>
  <si>
    <t>Patroni Griffi</t>
  </si>
  <si>
    <t>Niccolò</t>
  </si>
  <si>
    <t>Francesco</t>
  </si>
  <si>
    <t>Presenza</t>
  </si>
  <si>
    <t>XP</t>
  </si>
  <si>
    <t>Etichette di riga</t>
  </si>
  <si>
    <t>Totale complessivo</t>
  </si>
  <si>
    <t>Media di XP</t>
  </si>
  <si>
    <t>Media di Presenza</t>
  </si>
  <si>
    <t>Tarallo</t>
  </si>
  <si>
    <t>Emmanuele</t>
  </si>
  <si>
    <t>Cinieri</t>
  </si>
  <si>
    <t>AmorSì</t>
  </si>
  <si>
    <t>Curto</t>
  </si>
  <si>
    <t>Italo</t>
  </si>
  <si>
    <t>Robustelli</t>
  </si>
  <si>
    <t>Antonietta</t>
  </si>
  <si>
    <t>Sorvillo</t>
  </si>
  <si>
    <t>Antonio Miranda</t>
  </si>
  <si>
    <t>Valentino</t>
  </si>
  <si>
    <t>Luigi</t>
  </si>
  <si>
    <t>Cofano</t>
  </si>
  <si>
    <t>Camilla</t>
  </si>
  <si>
    <t>Ercolano</t>
  </si>
  <si>
    <t>Draft8</t>
  </si>
  <si>
    <t>Gallo</t>
  </si>
  <si>
    <t>Cuomo</t>
  </si>
  <si>
    <t>Davide</t>
  </si>
  <si>
    <t>Paone</t>
  </si>
  <si>
    <t>Preteverde</t>
  </si>
  <si>
    <t>Forte</t>
  </si>
  <si>
    <t>Giusi</t>
  </si>
  <si>
    <t>Petrone</t>
  </si>
  <si>
    <t>Claudia</t>
  </si>
  <si>
    <t>Gennaro</t>
  </si>
  <si>
    <t>Agliottone</t>
  </si>
  <si>
    <t>Imperatore</t>
  </si>
  <si>
    <t>Monaco</t>
  </si>
  <si>
    <t>Senza rimorso</t>
  </si>
  <si>
    <t>Marcello</t>
  </si>
  <si>
    <t>Castiglia</t>
  </si>
  <si>
    <t>Vincenza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</si>
</sst>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1A5276"/>
      </patternFill>
    </fill>
    <fill>
      <patternFill patternType="solid">
        <fgColor rgb="FFBDD7EE"/>
      </patternFill>
    </fill>
    <fill>
      <patternFill patternType="solid">
        <fgColor rgb="FF1E8449"/>
      </patternFill>
    </fill>
    <fill>
      <patternFill patternType="solid">
        <fgColor rgb="FFA9DFBF"/>
      </patternFill>
    </fill>
    <fill>
      <patternFill patternType="solid">
        <fgColor rgb="FFEAFAF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7">
    <xf numFmtId="0" fontId="0" fillId="0" borderId="0" xfId="0"/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9" fontId="4" fillId="8" borderId="1" xfId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4" fillId="8" borderId="2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NumberFormat="1"/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vanbattista Califano" refreshedDate="46160.692213773145" createdVersion="8" refreshedVersion="8" minRefreshableVersion="3" recordCount="61" xr:uid="{C70F8671-51C1-D74E-A849-9EC8BC6C887D}">
  <cacheSource type="worksheet">
    <worksheetSource ref="A2:S63" sheet="Registro"/>
  </cacheSource>
  <cacheFields count="19">
    <cacheField name="Cognome" numFmtId="0">
      <sharedItems/>
    </cacheField>
    <cacheField name="Nome" numFmtId="0">
      <sharedItems/>
    </cacheField>
    <cacheField name="Azienda" numFmtId="0">
      <sharedItems count="8">
        <s v="AmorSì"/>
        <s v="Draft8"/>
        <s v="Maccarò Lab"/>
        <s v="Partenope Food Innovation"/>
        <s v="ReFood-Lab"/>
        <s v="Senza rimorso"/>
        <s v="Socialbite!"/>
        <s v="VivaFruit"/>
      </sharedItems>
    </cacheField>
    <cacheField name="L1 Presenza" numFmtId="0">
      <sharedItems containsSemiMixedTypes="0" containsString="0" containsNumber="1" containsInteger="1" minValue="0" maxValue="1"/>
    </cacheField>
    <cacheField name="L1 XP" numFmtId="0">
      <sharedItems containsSemiMixedTypes="0" containsString="0" containsNumber="1" containsInteger="1" minValue="50" maxValue="150"/>
    </cacheField>
    <cacheField name="L2 Presenza" numFmtId="0">
      <sharedItems containsSemiMixedTypes="0" containsString="0" containsNumber="1" containsInteger="1" minValue="0" maxValue="1"/>
    </cacheField>
    <cacheField name="L2 XP" numFmtId="0">
      <sharedItems containsSemiMixedTypes="0" containsString="0" containsNumber="1" containsInteger="1" minValue="0" maxValue="115"/>
    </cacheField>
    <cacheField name="L3 Presenza" numFmtId="0">
      <sharedItems containsSemiMixedTypes="0" containsString="0" containsNumber="1" containsInteger="1" minValue="0" maxValue="1"/>
    </cacheField>
    <cacheField name="L3 XP" numFmtId="0">
      <sharedItems containsSemiMixedTypes="0" containsString="0" containsNumber="1" containsInteger="1" minValue="-5" maxValue="100"/>
    </cacheField>
    <cacheField name="L4 Presenza" numFmtId="0">
      <sharedItems containsSemiMixedTypes="0" containsString="0" containsNumber="1" containsInteger="1" minValue="0" maxValue="1"/>
    </cacheField>
    <cacheField name="L4 XP" numFmtId="0">
      <sharedItems containsSemiMixedTypes="0" containsString="0" containsNumber="1" containsInteger="1" minValue="0" maxValue="50"/>
    </cacheField>
    <cacheField name="L5 Presenza" numFmtId="0">
      <sharedItems containsSemiMixedTypes="0" containsString="0" containsNumber="1" containsInteger="1" minValue="0" maxValue="1"/>
    </cacheField>
    <cacheField name="L5 XP" numFmtId="0">
      <sharedItems containsSemiMixedTypes="0" containsString="0" containsNumber="1" containsInteger="1" minValue="-10" maxValue="120"/>
    </cacheField>
    <cacheField name="L6 Presenza" numFmtId="0">
      <sharedItems containsSemiMixedTypes="0" containsString="0" containsNumber="1" containsInteger="1" minValue="0" maxValue="1"/>
    </cacheField>
    <cacheField name="L6 XP" numFmtId="0">
      <sharedItems containsSemiMixedTypes="0" containsString="0" containsNumber="1" containsInteger="1" minValue="-15" maxValue="130"/>
    </cacheField>
    <cacheField name="L7 Presenza" numFmtId="0">
      <sharedItems containsSemiMixedTypes="0" containsString="0" containsNumber="1" containsInteger="1" minValue="0" maxValue="1"/>
    </cacheField>
    <cacheField name="L7 XP" numFmtId="0">
      <sharedItems containsSemiMixedTypes="0" containsString="0" containsNumber="1" containsInteger="1" minValue="0" maxValue="550"/>
    </cacheField>
    <cacheField name="Presenza" numFmtId="9">
      <sharedItems containsSemiMixedTypes="0" containsString="0" containsNumber="1" minValue="0.2857142857142857" maxValue="1"/>
    </cacheField>
    <cacheField name="XP" numFmtId="0">
      <sharedItems containsSemiMixedTypes="0" containsString="0" containsNumber="1" containsInteger="1" minValue="25" maxValue="9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Cinieri"/>
    <s v="Giuseppe"/>
    <x v="0"/>
    <n v="1"/>
    <n v="50"/>
    <n v="1"/>
    <n v="15"/>
    <n v="1"/>
    <n v="30"/>
    <n v="1"/>
    <n v="50"/>
    <n v="1"/>
    <n v="120"/>
    <n v="1"/>
    <n v="130"/>
    <n v="1"/>
    <n v="450"/>
    <n v="1"/>
    <n v="845"/>
  </r>
  <r>
    <s v="Cofano"/>
    <s v="Camilla"/>
    <x v="0"/>
    <n v="1"/>
    <n v="50"/>
    <n v="1"/>
    <n v="15"/>
    <n v="1"/>
    <n v="30"/>
    <n v="0"/>
    <n v="50"/>
    <n v="1"/>
    <n v="120"/>
    <n v="1"/>
    <n v="130"/>
    <n v="1"/>
    <n v="450"/>
    <n v="0.8571428571428571"/>
    <n v="845"/>
  </r>
  <r>
    <s v="Curto"/>
    <s v="Italo"/>
    <x v="0"/>
    <n v="1"/>
    <n v="50"/>
    <n v="1"/>
    <n v="15"/>
    <n v="1"/>
    <n v="30"/>
    <n v="1"/>
    <n v="50"/>
    <n v="1"/>
    <n v="120"/>
    <n v="0"/>
    <n v="130"/>
    <n v="1"/>
    <n v="450"/>
    <n v="0.8571428571428571"/>
    <n v="845"/>
  </r>
  <r>
    <s v="Robustelli"/>
    <s v="Antonietta"/>
    <x v="0"/>
    <n v="1"/>
    <n v="50"/>
    <n v="1"/>
    <n v="15"/>
    <n v="1"/>
    <n v="30"/>
    <n v="1"/>
    <n v="50"/>
    <n v="1"/>
    <n v="120"/>
    <n v="1"/>
    <n v="130"/>
    <n v="1"/>
    <n v="450"/>
    <n v="1"/>
    <n v="845"/>
  </r>
  <r>
    <s v="Sorvillo"/>
    <s v="Antonio Miranda"/>
    <x v="0"/>
    <n v="1"/>
    <n v="50"/>
    <n v="1"/>
    <n v="15"/>
    <n v="0"/>
    <n v="30"/>
    <n v="0"/>
    <n v="50"/>
    <n v="1"/>
    <n v="120"/>
    <n v="1"/>
    <n v="130"/>
    <n v="1"/>
    <n v="450"/>
    <n v="0.7142857142857143"/>
    <n v="845"/>
  </r>
  <r>
    <s v="Tarallo"/>
    <s v="Emmanuele"/>
    <x v="0"/>
    <n v="1"/>
    <n v="50"/>
    <n v="1"/>
    <n v="15"/>
    <n v="1"/>
    <n v="30"/>
    <n v="1"/>
    <n v="50"/>
    <n v="1"/>
    <n v="120"/>
    <n v="1"/>
    <n v="130"/>
    <n v="1"/>
    <n v="450"/>
    <n v="1"/>
    <n v="845"/>
  </r>
  <r>
    <s v="Valentino"/>
    <s v="Luigi"/>
    <x v="0"/>
    <n v="1"/>
    <n v="50"/>
    <n v="1"/>
    <n v="15"/>
    <n v="1"/>
    <n v="30"/>
    <n v="1"/>
    <n v="50"/>
    <n v="1"/>
    <n v="120"/>
    <n v="1"/>
    <n v="130"/>
    <n v="1"/>
    <n v="450"/>
    <n v="1"/>
    <n v="845"/>
  </r>
  <r>
    <s v="Castiglia"/>
    <s v="Vincenza"/>
    <x v="0"/>
    <n v="0"/>
    <n v="50"/>
    <n v="0"/>
    <n v="15"/>
    <n v="1"/>
    <n v="30"/>
    <n v="1"/>
    <n v="50"/>
    <n v="0"/>
    <n v="120"/>
    <n v="1"/>
    <n v="130"/>
    <n v="1"/>
    <n v="450"/>
    <n v="0.5714285714285714"/>
    <n v="845"/>
  </r>
  <r>
    <s v="Cuomo"/>
    <s v="Davide"/>
    <x v="1"/>
    <n v="1"/>
    <n v="50"/>
    <n v="1"/>
    <n v="0"/>
    <n v="1"/>
    <n v="0"/>
    <n v="1"/>
    <n v="0"/>
    <n v="0"/>
    <n v="-10"/>
    <n v="0"/>
    <n v="-15"/>
    <n v="0"/>
    <n v="0"/>
    <n v="0.5714285714285714"/>
    <n v="25"/>
  </r>
  <r>
    <s v="Ercolano"/>
    <s v="Anna"/>
    <x v="1"/>
    <n v="1"/>
    <n v="50"/>
    <n v="1"/>
    <n v="0"/>
    <n v="1"/>
    <n v="0"/>
    <n v="0"/>
    <n v="0"/>
    <n v="0"/>
    <n v="-10"/>
    <n v="0"/>
    <n v="-15"/>
    <n v="0"/>
    <n v="0"/>
    <n v="0.42857142857142855"/>
    <n v="25"/>
  </r>
  <r>
    <s v="Forte"/>
    <s v="Giusi"/>
    <x v="1"/>
    <n v="1"/>
    <n v="50"/>
    <n v="0"/>
    <n v="0"/>
    <n v="1"/>
    <n v="0"/>
    <n v="1"/>
    <n v="0"/>
    <n v="1"/>
    <n v="-10"/>
    <n v="0"/>
    <n v="-15"/>
    <n v="0"/>
    <n v="0"/>
    <n v="0.5714285714285714"/>
    <n v="25"/>
  </r>
  <r>
    <s v="Gallo"/>
    <s v="Francesca"/>
    <x v="1"/>
    <n v="1"/>
    <n v="50"/>
    <n v="0"/>
    <n v="0"/>
    <n v="1"/>
    <n v="0"/>
    <n v="0"/>
    <n v="0"/>
    <n v="0"/>
    <n v="-10"/>
    <n v="0"/>
    <n v="-15"/>
    <n v="0"/>
    <n v="0"/>
    <n v="0.2857142857142857"/>
    <n v="25"/>
  </r>
  <r>
    <s v="Paone"/>
    <s v="Davide"/>
    <x v="1"/>
    <n v="1"/>
    <n v="50"/>
    <n v="1"/>
    <n v="0"/>
    <n v="1"/>
    <n v="0"/>
    <n v="1"/>
    <n v="0"/>
    <n v="0"/>
    <n v="-10"/>
    <n v="0"/>
    <n v="-15"/>
    <n v="0"/>
    <n v="0"/>
    <n v="0.5714285714285714"/>
    <n v="25"/>
  </r>
  <r>
    <s v="Petrone"/>
    <s v="Claudia"/>
    <x v="1"/>
    <n v="1"/>
    <n v="50"/>
    <n v="1"/>
    <n v="0"/>
    <n v="0"/>
    <n v="0"/>
    <n v="0"/>
    <n v="0"/>
    <n v="0"/>
    <n v="-10"/>
    <n v="0"/>
    <n v="-15"/>
    <n v="0"/>
    <n v="0"/>
    <n v="0.2857142857142857"/>
    <n v="25"/>
  </r>
  <r>
    <s v="Preteverde"/>
    <s v="Simona"/>
    <x v="1"/>
    <n v="1"/>
    <n v="50"/>
    <n v="1"/>
    <n v="0"/>
    <n v="1"/>
    <n v="0"/>
    <n v="1"/>
    <n v="0"/>
    <n v="1"/>
    <n v="-10"/>
    <n v="0"/>
    <n v="-15"/>
    <n v="0"/>
    <n v="0"/>
    <n v="0.7142857142857143"/>
    <n v="25"/>
  </r>
  <r>
    <s v="Baudrand"/>
    <s v="Iris"/>
    <x v="2"/>
    <n v="1"/>
    <n v="50"/>
    <n v="1"/>
    <n v="115"/>
    <n v="1"/>
    <n v="50"/>
    <n v="1"/>
    <n v="0"/>
    <n v="1"/>
    <n v="40"/>
    <n v="1"/>
    <n v="30"/>
    <n v="1"/>
    <n v="150"/>
    <n v="1"/>
    <n v="435"/>
  </r>
  <r>
    <s v="Borreca"/>
    <s v="Paolo"/>
    <x v="2"/>
    <n v="1"/>
    <n v="50"/>
    <n v="1"/>
    <n v="115"/>
    <n v="1"/>
    <n v="50"/>
    <n v="1"/>
    <n v="0"/>
    <n v="0"/>
    <n v="40"/>
    <n v="1"/>
    <n v="30"/>
    <n v="1"/>
    <n v="150"/>
    <n v="0.8571428571428571"/>
    <n v="435"/>
  </r>
  <r>
    <s v="Borrione"/>
    <s v="Carlotta"/>
    <x v="2"/>
    <n v="1"/>
    <n v="50"/>
    <n v="1"/>
    <n v="115"/>
    <n v="1"/>
    <n v="50"/>
    <n v="1"/>
    <n v="0"/>
    <n v="1"/>
    <n v="40"/>
    <n v="1"/>
    <n v="30"/>
    <n v="1"/>
    <n v="150"/>
    <n v="1"/>
    <n v="435"/>
  </r>
  <r>
    <s v="Cappelluccio"/>
    <s v="Mario"/>
    <x v="2"/>
    <n v="1"/>
    <n v="50"/>
    <n v="1"/>
    <n v="115"/>
    <n v="1"/>
    <n v="50"/>
    <n v="1"/>
    <n v="0"/>
    <n v="1"/>
    <n v="40"/>
    <n v="0"/>
    <n v="30"/>
    <n v="1"/>
    <n v="150"/>
    <n v="0.8571428571428571"/>
    <n v="435"/>
  </r>
  <r>
    <s v="Casale"/>
    <s v="Alessandro"/>
    <x v="2"/>
    <n v="1"/>
    <n v="50"/>
    <n v="1"/>
    <n v="115"/>
    <n v="0"/>
    <n v="50"/>
    <n v="1"/>
    <n v="0"/>
    <n v="1"/>
    <n v="40"/>
    <n v="1"/>
    <n v="30"/>
    <n v="1"/>
    <n v="150"/>
    <n v="0.8571428571428571"/>
    <n v="435"/>
  </r>
  <r>
    <s v="Marrazzo"/>
    <s v="Alessia"/>
    <x v="2"/>
    <n v="1"/>
    <n v="50"/>
    <n v="0"/>
    <n v="115"/>
    <n v="1"/>
    <n v="50"/>
    <n v="0"/>
    <n v="0"/>
    <n v="1"/>
    <n v="40"/>
    <n v="1"/>
    <n v="30"/>
    <n v="1"/>
    <n v="150"/>
    <n v="0.7142857142857143"/>
    <n v="435"/>
  </r>
  <r>
    <s v="Miles"/>
    <s v="Eva"/>
    <x v="2"/>
    <n v="1"/>
    <n v="50"/>
    <n v="1"/>
    <n v="115"/>
    <n v="1"/>
    <n v="50"/>
    <n v="1"/>
    <n v="0"/>
    <n v="1"/>
    <n v="40"/>
    <n v="1"/>
    <n v="30"/>
    <n v="1"/>
    <n v="150"/>
    <n v="1"/>
    <n v="435"/>
  </r>
  <r>
    <s v="Parente"/>
    <s v="Maria"/>
    <x v="2"/>
    <n v="1"/>
    <n v="50"/>
    <n v="1"/>
    <n v="115"/>
    <n v="1"/>
    <n v="50"/>
    <n v="0"/>
    <n v="0"/>
    <n v="1"/>
    <n v="40"/>
    <n v="1"/>
    <n v="30"/>
    <n v="1"/>
    <n v="150"/>
    <n v="0.8571428571428571"/>
    <n v="435"/>
  </r>
  <r>
    <s v="Pietropaolo"/>
    <s v="Sara"/>
    <x v="2"/>
    <n v="1"/>
    <n v="50"/>
    <n v="1"/>
    <n v="115"/>
    <n v="1"/>
    <n v="50"/>
    <n v="1"/>
    <n v="0"/>
    <n v="0"/>
    <n v="40"/>
    <n v="1"/>
    <n v="30"/>
    <n v="1"/>
    <n v="150"/>
    <n v="0.8571428571428571"/>
    <n v="435"/>
  </r>
  <r>
    <s v="Rispoli"/>
    <s v="Marco"/>
    <x v="2"/>
    <n v="1"/>
    <n v="50"/>
    <n v="1"/>
    <n v="115"/>
    <n v="1"/>
    <n v="50"/>
    <n v="1"/>
    <n v="0"/>
    <n v="1"/>
    <n v="40"/>
    <n v="1"/>
    <n v="30"/>
    <n v="1"/>
    <n v="150"/>
    <n v="1"/>
    <n v="435"/>
  </r>
  <r>
    <s v="Maione"/>
    <s v="Barbara"/>
    <x v="3"/>
    <n v="1"/>
    <n v="150"/>
    <n v="0"/>
    <n v="0"/>
    <n v="1"/>
    <n v="0"/>
    <n v="1"/>
    <n v="0"/>
    <n v="1"/>
    <n v="40"/>
    <n v="0"/>
    <n v="-15"/>
    <n v="0"/>
    <n v="0"/>
    <n v="0.5714285714285714"/>
    <n v="175"/>
  </r>
  <r>
    <s v="Nasti"/>
    <s v="Francesca"/>
    <x v="3"/>
    <n v="1"/>
    <n v="150"/>
    <n v="1"/>
    <n v="0"/>
    <n v="1"/>
    <n v="0"/>
    <n v="0"/>
    <n v="0"/>
    <n v="1"/>
    <n v="40"/>
    <n v="0"/>
    <n v="-15"/>
    <n v="0"/>
    <n v="0"/>
    <n v="0.5714285714285714"/>
    <n v="175"/>
  </r>
  <r>
    <s v="Noviello"/>
    <s v="Martina"/>
    <x v="3"/>
    <n v="1"/>
    <n v="150"/>
    <n v="0"/>
    <n v="0"/>
    <n v="1"/>
    <n v="0"/>
    <n v="1"/>
    <n v="0"/>
    <n v="1"/>
    <n v="40"/>
    <n v="0"/>
    <n v="-15"/>
    <n v="0"/>
    <n v="0"/>
    <n v="0.5714285714285714"/>
    <n v="175"/>
  </r>
  <r>
    <s v="Pepe"/>
    <s v="Lorenzo"/>
    <x v="3"/>
    <n v="1"/>
    <n v="150"/>
    <n v="1"/>
    <n v="0"/>
    <n v="1"/>
    <n v="0"/>
    <n v="1"/>
    <n v="0"/>
    <n v="1"/>
    <n v="40"/>
    <n v="0"/>
    <n v="-15"/>
    <n v="0"/>
    <n v="0"/>
    <n v="0.7142857142857143"/>
    <n v="175"/>
  </r>
  <r>
    <s v="Tartaro"/>
    <s v="Ilaria"/>
    <x v="3"/>
    <n v="1"/>
    <n v="150"/>
    <n v="0"/>
    <n v="0"/>
    <n v="0"/>
    <n v="0"/>
    <n v="1"/>
    <n v="0"/>
    <n v="1"/>
    <n v="40"/>
    <n v="0"/>
    <n v="-15"/>
    <n v="0"/>
    <n v="0"/>
    <n v="0.42857142857142855"/>
    <n v="175"/>
  </r>
  <r>
    <s v="Versi"/>
    <s v="Giuseppina"/>
    <x v="3"/>
    <n v="1"/>
    <n v="150"/>
    <n v="0"/>
    <n v="0"/>
    <n v="1"/>
    <n v="0"/>
    <n v="1"/>
    <n v="0"/>
    <n v="1"/>
    <n v="40"/>
    <n v="0"/>
    <n v="-15"/>
    <n v="0"/>
    <n v="0"/>
    <n v="0.5714285714285714"/>
    <n v="175"/>
  </r>
  <r>
    <s v="Borrelli"/>
    <s v="Nunzia"/>
    <x v="4"/>
    <n v="1"/>
    <n v="50"/>
    <n v="1"/>
    <n v="0"/>
    <n v="0"/>
    <n v="0"/>
    <n v="0"/>
    <n v="0"/>
    <n v="1"/>
    <n v="50"/>
    <n v="0"/>
    <n v="30"/>
    <n v="1"/>
    <n v="150"/>
    <n v="0.5714285714285714"/>
    <n v="280"/>
  </r>
  <r>
    <s v="Canzolino"/>
    <s v="Carlo"/>
    <x v="4"/>
    <n v="1"/>
    <n v="50"/>
    <n v="1"/>
    <n v="0"/>
    <n v="1"/>
    <n v="0"/>
    <n v="1"/>
    <n v="0"/>
    <n v="1"/>
    <n v="50"/>
    <n v="0"/>
    <n v="30"/>
    <n v="1"/>
    <n v="150"/>
    <n v="0.8571428571428571"/>
    <n v="280"/>
  </r>
  <r>
    <s v="De Siena"/>
    <s v="Daniele Gennaro"/>
    <x v="4"/>
    <n v="1"/>
    <n v="50"/>
    <n v="1"/>
    <n v="0"/>
    <n v="1"/>
    <n v="0"/>
    <n v="1"/>
    <n v="0"/>
    <n v="1"/>
    <n v="50"/>
    <n v="0"/>
    <n v="30"/>
    <n v="1"/>
    <n v="150"/>
    <n v="0.8571428571428571"/>
    <n v="280"/>
  </r>
  <r>
    <s v="Di Meglio"/>
    <s v="Francesco"/>
    <x v="4"/>
    <n v="1"/>
    <n v="50"/>
    <n v="1"/>
    <n v="0"/>
    <n v="1"/>
    <n v="0"/>
    <n v="1"/>
    <n v="0"/>
    <n v="1"/>
    <n v="50"/>
    <n v="0"/>
    <n v="30"/>
    <n v="1"/>
    <n v="150"/>
    <n v="0.8571428571428571"/>
    <n v="280"/>
  </r>
  <r>
    <s v="Esposito"/>
    <s v="Melissa"/>
    <x v="4"/>
    <n v="1"/>
    <n v="50"/>
    <n v="1"/>
    <n v="0"/>
    <n v="0"/>
    <n v="0"/>
    <n v="0"/>
    <n v="0"/>
    <n v="1"/>
    <n v="50"/>
    <n v="0"/>
    <n v="30"/>
    <n v="1"/>
    <n v="150"/>
    <n v="0.5714285714285714"/>
    <n v="280"/>
  </r>
  <r>
    <s v="Ferrante"/>
    <s v="Rosanna"/>
    <x v="4"/>
    <n v="1"/>
    <n v="50"/>
    <n v="0"/>
    <n v="0"/>
    <n v="1"/>
    <n v="0"/>
    <n v="1"/>
    <n v="0"/>
    <n v="1"/>
    <n v="50"/>
    <n v="0"/>
    <n v="30"/>
    <n v="1"/>
    <n v="150"/>
    <n v="0.7142857142857143"/>
    <n v="280"/>
  </r>
  <r>
    <s v="Maglietta"/>
    <s v="Giuseppe"/>
    <x v="4"/>
    <n v="1"/>
    <n v="50"/>
    <n v="1"/>
    <n v="0"/>
    <n v="0"/>
    <n v="0"/>
    <n v="1"/>
    <n v="0"/>
    <n v="0"/>
    <n v="50"/>
    <n v="0"/>
    <n v="30"/>
    <n v="1"/>
    <n v="150"/>
    <n v="0.5714285714285714"/>
    <n v="280"/>
  </r>
  <r>
    <s v="Patroni Griffi"/>
    <s v="Niccolò"/>
    <x v="4"/>
    <n v="1"/>
    <n v="50"/>
    <n v="1"/>
    <n v="0"/>
    <n v="1"/>
    <n v="0"/>
    <n v="1"/>
    <n v="0"/>
    <n v="1"/>
    <n v="50"/>
    <n v="0"/>
    <n v="30"/>
    <n v="1"/>
    <n v="150"/>
    <n v="0.8571428571428571"/>
    <n v="280"/>
  </r>
  <r>
    <s v="Semioli"/>
    <s v="Stella"/>
    <x v="4"/>
    <n v="1"/>
    <n v="50"/>
    <n v="1"/>
    <n v="0"/>
    <n v="0"/>
    <n v="0"/>
    <n v="0"/>
    <n v="0"/>
    <n v="1"/>
    <n v="50"/>
    <n v="1"/>
    <n v="30"/>
    <n v="1"/>
    <n v="150"/>
    <n v="0.7142857142857143"/>
    <n v="280"/>
  </r>
  <r>
    <s v="Siano"/>
    <s v="Gaetano"/>
    <x v="4"/>
    <n v="1"/>
    <n v="50"/>
    <n v="0"/>
    <n v="0"/>
    <n v="0"/>
    <n v="0"/>
    <n v="1"/>
    <n v="0"/>
    <n v="0"/>
    <n v="50"/>
    <n v="0"/>
    <n v="30"/>
    <n v="1"/>
    <n v="150"/>
    <n v="0.42857142857142855"/>
    <n v="280"/>
  </r>
  <r>
    <s v="Agliottone"/>
    <s v="Davide"/>
    <x v="5"/>
    <n v="0"/>
    <n v="50"/>
    <n v="1"/>
    <n v="0"/>
    <n v="1"/>
    <n v="-5"/>
    <n v="0"/>
    <n v="0"/>
    <n v="1"/>
    <n v="-10"/>
    <n v="0"/>
    <n v="30"/>
    <n v="1"/>
    <n v="150"/>
    <n v="0.5714285714285714"/>
    <n v="215"/>
  </r>
  <r>
    <s v="Gallo"/>
    <s v="Gennaro"/>
    <x v="5"/>
    <n v="0"/>
    <n v="50"/>
    <n v="1"/>
    <n v="0"/>
    <n v="1"/>
    <n v="-5"/>
    <n v="0"/>
    <n v="0"/>
    <n v="1"/>
    <n v="-10"/>
    <n v="0"/>
    <n v="30"/>
    <n v="1"/>
    <n v="150"/>
    <n v="0.5714285714285714"/>
    <n v="215"/>
  </r>
  <r>
    <s v="Imperatore"/>
    <s v="Luca"/>
    <x v="5"/>
    <n v="0"/>
    <n v="50"/>
    <n v="1"/>
    <n v="0"/>
    <n v="0"/>
    <n v="-5"/>
    <n v="0"/>
    <n v="0"/>
    <n v="1"/>
    <n v="-10"/>
    <n v="0"/>
    <n v="30"/>
    <n v="1"/>
    <n v="150"/>
    <n v="0.42857142857142855"/>
    <n v="215"/>
  </r>
  <r>
    <s v="Monaco"/>
    <s v="Marcello"/>
    <x v="5"/>
    <n v="0"/>
    <n v="50"/>
    <n v="1"/>
    <n v="0"/>
    <n v="1"/>
    <n v="-5"/>
    <n v="0"/>
    <n v="0"/>
    <n v="1"/>
    <n v="-10"/>
    <n v="0"/>
    <n v="30"/>
    <n v="1"/>
    <n v="150"/>
    <n v="0.5714285714285714"/>
    <n v="215"/>
  </r>
  <r>
    <s v="Cerundolo"/>
    <s v="Anna"/>
    <x v="6"/>
    <n v="1"/>
    <n v="50"/>
    <n v="1"/>
    <n v="0"/>
    <n v="1"/>
    <n v="100"/>
    <n v="0"/>
    <n v="0"/>
    <n v="1"/>
    <n v="120"/>
    <n v="0"/>
    <n v="100"/>
    <n v="1"/>
    <n v="550"/>
    <n v="0.7142857142857143"/>
    <n v="920"/>
  </r>
  <r>
    <s v="Chieti"/>
    <s v="Simona"/>
    <x v="6"/>
    <n v="1"/>
    <n v="50"/>
    <n v="1"/>
    <n v="0"/>
    <n v="1"/>
    <n v="100"/>
    <n v="1"/>
    <n v="0"/>
    <n v="1"/>
    <n v="120"/>
    <n v="1"/>
    <n v="100"/>
    <n v="1"/>
    <n v="550"/>
    <n v="1"/>
    <n v="920"/>
  </r>
  <r>
    <s v="Coda"/>
    <s v="Roberta"/>
    <x v="6"/>
    <n v="1"/>
    <n v="50"/>
    <n v="1"/>
    <n v="0"/>
    <n v="1"/>
    <n v="100"/>
    <n v="1"/>
    <n v="0"/>
    <n v="1"/>
    <n v="120"/>
    <n v="1"/>
    <n v="100"/>
    <n v="1"/>
    <n v="550"/>
    <n v="1"/>
    <n v="920"/>
  </r>
  <r>
    <s v="Dibartolomeo"/>
    <s v="Elisa Diana"/>
    <x v="6"/>
    <n v="1"/>
    <n v="50"/>
    <n v="1"/>
    <n v="0"/>
    <n v="1"/>
    <n v="100"/>
    <n v="1"/>
    <n v="0"/>
    <n v="1"/>
    <n v="120"/>
    <n v="1"/>
    <n v="100"/>
    <n v="1"/>
    <n v="550"/>
    <n v="1"/>
    <n v="920"/>
  </r>
  <r>
    <s v="Raduazzo"/>
    <s v="Letizia"/>
    <x v="6"/>
    <n v="1"/>
    <n v="50"/>
    <n v="1"/>
    <n v="0"/>
    <n v="1"/>
    <n v="100"/>
    <n v="0"/>
    <n v="0"/>
    <n v="0"/>
    <n v="120"/>
    <n v="1"/>
    <n v="100"/>
    <n v="1"/>
    <n v="550"/>
    <n v="0.7142857142857143"/>
    <n v="920"/>
  </r>
  <r>
    <s v="Vable"/>
    <s v="Vittoria"/>
    <x v="6"/>
    <n v="1"/>
    <n v="50"/>
    <n v="1"/>
    <n v="0"/>
    <n v="1"/>
    <n v="100"/>
    <n v="1"/>
    <n v="0"/>
    <n v="1"/>
    <n v="120"/>
    <n v="1"/>
    <n v="100"/>
    <n v="1"/>
    <n v="550"/>
    <n v="1"/>
    <n v="920"/>
  </r>
  <r>
    <s v="Zito"/>
    <s v="Michelangelo"/>
    <x v="6"/>
    <n v="1"/>
    <n v="50"/>
    <n v="1"/>
    <n v="0"/>
    <n v="1"/>
    <n v="100"/>
    <n v="1"/>
    <n v="0"/>
    <n v="1"/>
    <n v="120"/>
    <n v="1"/>
    <n v="100"/>
    <n v="1"/>
    <n v="550"/>
    <n v="1"/>
    <n v="920"/>
  </r>
  <r>
    <s v="Antico"/>
    <s v="Giorgia"/>
    <x v="7"/>
    <n v="1"/>
    <n v="50"/>
    <n v="1"/>
    <n v="15"/>
    <n v="1"/>
    <n v="0"/>
    <n v="1"/>
    <n v="0"/>
    <n v="1"/>
    <n v="50"/>
    <n v="1"/>
    <n v="100"/>
    <n v="1"/>
    <n v="150"/>
    <n v="1"/>
    <n v="365"/>
  </r>
  <r>
    <s v="D'Acunto"/>
    <s v="Luca"/>
    <x v="7"/>
    <n v="1"/>
    <n v="50"/>
    <n v="1"/>
    <n v="15"/>
    <n v="0"/>
    <n v="0"/>
    <n v="0"/>
    <n v="0"/>
    <n v="0"/>
    <n v="50"/>
    <n v="1"/>
    <n v="100"/>
    <n v="1"/>
    <n v="150"/>
    <n v="0.5714285714285714"/>
    <n v="365"/>
  </r>
  <r>
    <s v="Di Fiore"/>
    <s v="Manila"/>
    <x v="7"/>
    <n v="1"/>
    <n v="50"/>
    <n v="1"/>
    <n v="15"/>
    <n v="0"/>
    <n v="0"/>
    <n v="1"/>
    <n v="0"/>
    <n v="0"/>
    <n v="50"/>
    <n v="0"/>
    <n v="100"/>
    <n v="1"/>
    <n v="150"/>
    <n v="0.5714285714285714"/>
    <n v="365"/>
  </r>
  <r>
    <s v="Ditri"/>
    <s v="Martina"/>
    <x v="7"/>
    <n v="1"/>
    <n v="50"/>
    <n v="1"/>
    <n v="15"/>
    <n v="1"/>
    <n v="0"/>
    <n v="1"/>
    <n v="0"/>
    <n v="1"/>
    <n v="50"/>
    <n v="1"/>
    <n v="100"/>
    <n v="1"/>
    <n v="150"/>
    <n v="1"/>
    <n v="365"/>
  </r>
  <r>
    <s v="Fraddanno"/>
    <s v="Filippo"/>
    <x v="7"/>
    <n v="1"/>
    <n v="50"/>
    <n v="1"/>
    <n v="15"/>
    <n v="1"/>
    <n v="0"/>
    <n v="1"/>
    <n v="0"/>
    <n v="1"/>
    <n v="50"/>
    <n v="0"/>
    <n v="100"/>
    <n v="1"/>
    <n v="150"/>
    <n v="0.8571428571428571"/>
    <n v="365"/>
  </r>
  <r>
    <s v="Marciello"/>
    <s v="Miriam"/>
    <x v="7"/>
    <n v="1"/>
    <n v="50"/>
    <n v="1"/>
    <n v="15"/>
    <n v="1"/>
    <n v="0"/>
    <n v="1"/>
    <n v="0"/>
    <n v="0"/>
    <n v="50"/>
    <n v="1"/>
    <n v="100"/>
    <n v="1"/>
    <n v="150"/>
    <n v="0.8571428571428571"/>
    <n v="365"/>
  </r>
  <r>
    <s v="Miranda"/>
    <s v="Sara"/>
    <x v="7"/>
    <n v="1"/>
    <n v="50"/>
    <n v="1"/>
    <n v="15"/>
    <n v="1"/>
    <n v="0"/>
    <n v="1"/>
    <n v="0"/>
    <n v="1"/>
    <n v="50"/>
    <n v="0"/>
    <n v="100"/>
    <n v="1"/>
    <n v="150"/>
    <n v="0.8571428571428571"/>
    <n v="365"/>
  </r>
  <r>
    <s v="Rolletta"/>
    <s v="Christian"/>
    <x v="7"/>
    <n v="1"/>
    <n v="50"/>
    <n v="1"/>
    <n v="15"/>
    <n v="1"/>
    <n v="0"/>
    <n v="1"/>
    <n v="0"/>
    <n v="1"/>
    <n v="50"/>
    <n v="0"/>
    <n v="100"/>
    <n v="1"/>
    <n v="150"/>
    <n v="0.8571428571428571"/>
    <n v="365"/>
  </r>
  <r>
    <s v="Soriano"/>
    <s v="Leandro"/>
    <x v="7"/>
    <n v="1"/>
    <n v="50"/>
    <n v="1"/>
    <n v="15"/>
    <n v="1"/>
    <n v="0"/>
    <n v="1"/>
    <n v="0"/>
    <n v="1"/>
    <n v="50"/>
    <n v="0"/>
    <n v="100"/>
    <n v="1"/>
    <n v="150"/>
    <n v="0.8571428571428571"/>
    <n v="3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3B12C-6A4E-BD4A-AC06-E481A24E0FD5}" name="Tabella pivot1" cacheId="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12" firstHeaderRow="0" firstDataRow="1" firstDataCol="1"/>
  <pivotFields count="19">
    <pivotField showAll="0"/>
    <pivotField showAll="0"/>
    <pivotField axis="axisRow" showAll="0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dataField="1" showAll="0"/>
  </pivotFields>
  <rowFields count="1">
    <field x="2"/>
  </rowFields>
  <rowItems count="9">
    <i>
      <x v="6"/>
    </i>
    <i>
      <x/>
    </i>
    <i>
      <x v="2"/>
    </i>
    <i>
      <x v="7"/>
    </i>
    <i>
      <x v="4"/>
    </i>
    <i>
      <x v="5"/>
    </i>
    <i>
      <x v="3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Media di XP" fld="18" subtotal="average" baseField="0" baseItem="0"/>
    <dataField name="Media di Presenza" fld="17" subtotal="average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"/>
  <sheetViews>
    <sheetView zoomScale="125" workbookViewId="0">
      <pane xSplit="3" ySplit="2" topLeftCell="J3" activePane="bottomRight" state="frozen"/>
      <selection pane="topRight"/>
      <selection pane="bottomLeft"/>
      <selection pane="bottomRight" activeCell="Q55" sqref="Q55:Q64"/>
    </sheetView>
  </sheetViews>
  <sheetFormatPr baseColWidth="10" defaultColWidth="8.83203125" defaultRowHeight="15" x14ac:dyDescent="0.2"/>
  <cols>
    <col min="1" max="1" width="20" customWidth="1"/>
    <col min="2" max="2" width="18" customWidth="1"/>
    <col min="3" max="3" width="24" customWidth="1"/>
    <col min="4" max="4" width="11" style="18" customWidth="1"/>
    <col min="5" max="5" width="8" style="18" customWidth="1"/>
    <col min="6" max="6" width="11" style="18" customWidth="1"/>
    <col min="7" max="7" width="8" style="18" customWidth="1"/>
    <col min="8" max="8" width="11" style="18" customWidth="1"/>
    <col min="9" max="9" width="8" style="18" customWidth="1"/>
    <col min="10" max="10" width="11" style="18" customWidth="1"/>
    <col min="11" max="11" width="8" style="18" customWidth="1"/>
    <col min="12" max="12" width="11" style="18" customWidth="1"/>
    <col min="13" max="13" width="8" style="18" customWidth="1"/>
    <col min="14" max="14" width="11" style="18" customWidth="1"/>
    <col min="15" max="15" width="8" style="18" customWidth="1"/>
    <col min="16" max="16" width="11" style="18" customWidth="1"/>
    <col min="17" max="17" width="8" style="18" customWidth="1"/>
    <col min="18" max="18" width="10" customWidth="1"/>
  </cols>
  <sheetData>
    <row r="1" spans="1:19" ht="20" customHeight="1" x14ac:dyDescent="0.2">
      <c r="A1" s="24" t="s">
        <v>0</v>
      </c>
      <c r="B1" s="25"/>
      <c r="C1" s="25"/>
      <c r="D1" s="20" t="s">
        <v>1</v>
      </c>
      <c r="E1" s="21"/>
      <c r="F1" s="22" t="s">
        <v>2</v>
      </c>
      <c r="G1" s="21"/>
      <c r="H1" s="20" t="s">
        <v>3</v>
      </c>
      <c r="I1" s="21"/>
      <c r="J1" s="22" t="s">
        <v>4</v>
      </c>
      <c r="K1" s="21"/>
      <c r="L1" s="20" t="s">
        <v>5</v>
      </c>
      <c r="M1" s="21"/>
      <c r="N1" s="22" t="s">
        <v>6</v>
      </c>
      <c r="O1" s="21"/>
      <c r="P1" s="20" t="s">
        <v>7</v>
      </c>
      <c r="Q1" s="21"/>
      <c r="R1" s="23" t="s">
        <v>8</v>
      </c>
      <c r="S1" s="23"/>
    </row>
    <row r="2" spans="1:19" ht="28" customHeight="1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2" t="s">
        <v>114</v>
      </c>
      <c r="S2" s="2" t="s">
        <v>115</v>
      </c>
    </row>
    <row r="3" spans="1:19" x14ac:dyDescent="0.2">
      <c r="A3" s="8" t="s">
        <v>122</v>
      </c>
      <c r="B3" s="8" t="s">
        <v>63</v>
      </c>
      <c r="C3" s="8" t="s">
        <v>123</v>
      </c>
      <c r="D3" s="9">
        <v>1</v>
      </c>
      <c r="E3" s="9">
        <v>50</v>
      </c>
      <c r="F3" s="15">
        <v>1</v>
      </c>
      <c r="G3" s="17">
        <v>15</v>
      </c>
      <c r="H3" s="17">
        <v>1</v>
      </c>
      <c r="I3" s="17">
        <v>30</v>
      </c>
      <c r="J3" s="17">
        <v>1</v>
      </c>
      <c r="K3" s="17">
        <v>50</v>
      </c>
      <c r="L3" s="17">
        <v>1</v>
      </c>
      <c r="M3" s="17">
        <v>120</v>
      </c>
      <c r="N3" s="17">
        <v>1</v>
      </c>
      <c r="O3" s="17">
        <v>130</v>
      </c>
      <c r="P3" s="17">
        <v>1</v>
      </c>
      <c r="Q3" s="17">
        <v>450</v>
      </c>
      <c r="R3" s="4">
        <f t="shared" ref="R3:R34" si="0">(D3+F3+H3+J3+L3+N3+P3)/7</f>
        <v>1</v>
      </c>
      <c r="S3" s="3">
        <f t="shared" ref="S3:S34" si="1">E3+G3+I3+K3+M3+O3+Q3</f>
        <v>845</v>
      </c>
    </row>
    <row r="4" spans="1:19" x14ac:dyDescent="0.2">
      <c r="A4" s="8" t="s">
        <v>132</v>
      </c>
      <c r="B4" s="8" t="s">
        <v>133</v>
      </c>
      <c r="C4" s="8" t="s">
        <v>123</v>
      </c>
      <c r="D4" s="9">
        <v>1</v>
      </c>
      <c r="E4" s="9">
        <v>50</v>
      </c>
      <c r="F4" s="15">
        <v>1</v>
      </c>
      <c r="G4" s="17">
        <v>15</v>
      </c>
      <c r="H4" s="17">
        <v>1</v>
      </c>
      <c r="I4" s="17">
        <v>30</v>
      </c>
      <c r="J4" s="17">
        <v>0</v>
      </c>
      <c r="K4" s="17">
        <v>50</v>
      </c>
      <c r="L4" s="17">
        <v>1</v>
      </c>
      <c r="M4" s="17">
        <v>120</v>
      </c>
      <c r="N4" s="17">
        <v>1</v>
      </c>
      <c r="O4" s="17">
        <v>130</v>
      </c>
      <c r="P4" s="17">
        <v>1</v>
      </c>
      <c r="Q4" s="17">
        <v>450</v>
      </c>
      <c r="R4" s="4">
        <f t="shared" si="0"/>
        <v>0.8571428571428571</v>
      </c>
      <c r="S4" s="3">
        <f t="shared" si="1"/>
        <v>845</v>
      </c>
    </row>
    <row r="5" spans="1:19" x14ac:dyDescent="0.2">
      <c r="A5" s="8" t="s">
        <v>124</v>
      </c>
      <c r="B5" s="8" t="s">
        <v>125</v>
      </c>
      <c r="C5" s="8" t="s">
        <v>123</v>
      </c>
      <c r="D5" s="9">
        <v>1</v>
      </c>
      <c r="E5" s="9">
        <v>50</v>
      </c>
      <c r="F5" s="15">
        <v>1</v>
      </c>
      <c r="G5" s="17">
        <v>15</v>
      </c>
      <c r="H5" s="17">
        <v>1</v>
      </c>
      <c r="I5" s="17">
        <v>30</v>
      </c>
      <c r="J5" s="17">
        <v>1</v>
      </c>
      <c r="K5" s="17">
        <v>50</v>
      </c>
      <c r="L5" s="17">
        <v>1</v>
      </c>
      <c r="M5" s="17">
        <v>120</v>
      </c>
      <c r="N5" s="17">
        <v>0</v>
      </c>
      <c r="O5" s="17">
        <v>130</v>
      </c>
      <c r="P5" s="17">
        <v>1</v>
      </c>
      <c r="Q5" s="17">
        <v>450</v>
      </c>
      <c r="R5" s="4">
        <f t="shared" si="0"/>
        <v>0.8571428571428571</v>
      </c>
      <c r="S5" s="3">
        <f t="shared" si="1"/>
        <v>845</v>
      </c>
    </row>
    <row r="6" spans="1:19" x14ac:dyDescent="0.2">
      <c r="A6" s="8" t="s">
        <v>126</v>
      </c>
      <c r="B6" s="8" t="s">
        <v>127</v>
      </c>
      <c r="C6" s="8" t="s">
        <v>123</v>
      </c>
      <c r="D6" s="9">
        <v>1</v>
      </c>
      <c r="E6" s="9">
        <v>50</v>
      </c>
      <c r="F6" s="15">
        <v>1</v>
      </c>
      <c r="G6" s="17">
        <v>15</v>
      </c>
      <c r="H6" s="17">
        <v>1</v>
      </c>
      <c r="I6" s="17">
        <v>30</v>
      </c>
      <c r="J6" s="17">
        <v>1</v>
      </c>
      <c r="K6" s="17">
        <v>50</v>
      </c>
      <c r="L6" s="17">
        <v>1</v>
      </c>
      <c r="M6" s="17">
        <v>120</v>
      </c>
      <c r="N6" s="17">
        <v>1</v>
      </c>
      <c r="O6" s="17">
        <v>130</v>
      </c>
      <c r="P6" s="17">
        <v>1</v>
      </c>
      <c r="Q6" s="17">
        <v>450</v>
      </c>
      <c r="R6" s="4">
        <f t="shared" si="0"/>
        <v>1</v>
      </c>
      <c r="S6" s="3">
        <f t="shared" si="1"/>
        <v>845</v>
      </c>
    </row>
    <row r="7" spans="1:19" x14ac:dyDescent="0.2">
      <c r="A7" s="8" t="s">
        <v>128</v>
      </c>
      <c r="B7" s="8" t="s">
        <v>129</v>
      </c>
      <c r="C7" s="8" t="s">
        <v>123</v>
      </c>
      <c r="D7" s="9">
        <v>1</v>
      </c>
      <c r="E7" s="9">
        <v>50</v>
      </c>
      <c r="F7" s="15">
        <v>1</v>
      </c>
      <c r="G7" s="17">
        <v>15</v>
      </c>
      <c r="H7" s="17">
        <v>0</v>
      </c>
      <c r="I7" s="17">
        <v>30</v>
      </c>
      <c r="J7" s="17">
        <v>0</v>
      </c>
      <c r="K7" s="17">
        <v>50</v>
      </c>
      <c r="L7" s="17">
        <v>1</v>
      </c>
      <c r="M7" s="17">
        <v>120</v>
      </c>
      <c r="N7" s="17">
        <v>1</v>
      </c>
      <c r="O7" s="17">
        <v>130</v>
      </c>
      <c r="P7" s="17">
        <v>1</v>
      </c>
      <c r="Q7" s="17">
        <v>450</v>
      </c>
      <c r="R7" s="4">
        <f t="shared" si="0"/>
        <v>0.7142857142857143</v>
      </c>
      <c r="S7" s="3">
        <f t="shared" si="1"/>
        <v>845</v>
      </c>
    </row>
    <row r="8" spans="1:19" x14ac:dyDescent="0.2">
      <c r="A8" s="8" t="s">
        <v>120</v>
      </c>
      <c r="B8" s="8" t="s">
        <v>121</v>
      </c>
      <c r="C8" s="8" t="s">
        <v>123</v>
      </c>
      <c r="D8" s="9">
        <v>1</v>
      </c>
      <c r="E8" s="9">
        <v>50</v>
      </c>
      <c r="F8" s="15">
        <v>1</v>
      </c>
      <c r="G8" s="17">
        <v>15</v>
      </c>
      <c r="H8" s="17">
        <v>1</v>
      </c>
      <c r="I8" s="17">
        <v>30</v>
      </c>
      <c r="J8" s="17">
        <v>1</v>
      </c>
      <c r="K8" s="17">
        <v>50</v>
      </c>
      <c r="L8" s="17">
        <v>1</v>
      </c>
      <c r="M8" s="17">
        <v>120</v>
      </c>
      <c r="N8" s="17">
        <v>1</v>
      </c>
      <c r="O8" s="17">
        <v>130</v>
      </c>
      <c r="P8" s="17">
        <v>1</v>
      </c>
      <c r="Q8" s="17">
        <v>450</v>
      </c>
      <c r="R8" s="4">
        <f t="shared" si="0"/>
        <v>1</v>
      </c>
      <c r="S8" s="3">
        <f t="shared" si="1"/>
        <v>845</v>
      </c>
    </row>
    <row r="9" spans="1:19" x14ac:dyDescent="0.2">
      <c r="A9" s="8" t="s">
        <v>130</v>
      </c>
      <c r="B9" s="8" t="s">
        <v>131</v>
      </c>
      <c r="C9" s="8" t="s">
        <v>123</v>
      </c>
      <c r="D9" s="9">
        <v>1</v>
      </c>
      <c r="E9" s="9">
        <v>50</v>
      </c>
      <c r="F9" s="15">
        <v>1</v>
      </c>
      <c r="G9" s="17">
        <v>15</v>
      </c>
      <c r="H9" s="17">
        <v>1</v>
      </c>
      <c r="I9" s="17">
        <v>30</v>
      </c>
      <c r="J9" s="17">
        <v>1</v>
      </c>
      <c r="K9" s="17">
        <v>50</v>
      </c>
      <c r="L9" s="17">
        <v>1</v>
      </c>
      <c r="M9" s="17">
        <v>120</v>
      </c>
      <c r="N9" s="17">
        <v>1</v>
      </c>
      <c r="O9" s="17">
        <v>130</v>
      </c>
      <c r="P9" s="17">
        <v>1</v>
      </c>
      <c r="Q9" s="17">
        <v>450</v>
      </c>
      <c r="R9" s="4">
        <f t="shared" si="0"/>
        <v>1</v>
      </c>
      <c r="S9" s="3">
        <f t="shared" si="1"/>
        <v>845</v>
      </c>
    </row>
    <row r="10" spans="1:19" x14ac:dyDescent="0.2">
      <c r="A10" s="8" t="s">
        <v>151</v>
      </c>
      <c r="B10" s="8" t="s">
        <v>152</v>
      </c>
      <c r="C10" s="8" t="s">
        <v>123</v>
      </c>
      <c r="D10" s="9">
        <v>0</v>
      </c>
      <c r="E10" s="17">
        <v>50</v>
      </c>
      <c r="F10" s="9">
        <v>0</v>
      </c>
      <c r="G10" s="17">
        <v>15</v>
      </c>
      <c r="H10" s="17">
        <v>1</v>
      </c>
      <c r="I10" s="17">
        <v>30</v>
      </c>
      <c r="J10" s="17">
        <v>1</v>
      </c>
      <c r="K10" s="17">
        <v>50</v>
      </c>
      <c r="L10" s="17">
        <v>0</v>
      </c>
      <c r="M10" s="17">
        <v>120</v>
      </c>
      <c r="N10" s="17">
        <v>1</v>
      </c>
      <c r="O10" s="17">
        <v>130</v>
      </c>
      <c r="P10" s="17">
        <v>1</v>
      </c>
      <c r="Q10" s="17">
        <v>450</v>
      </c>
      <c r="R10" s="4">
        <f t="shared" si="0"/>
        <v>0.5714285714285714</v>
      </c>
      <c r="S10" s="3">
        <f t="shared" si="1"/>
        <v>845</v>
      </c>
    </row>
    <row r="11" spans="1:19" x14ac:dyDescent="0.2">
      <c r="A11" s="8" t="s">
        <v>137</v>
      </c>
      <c r="B11" s="8" t="s">
        <v>138</v>
      </c>
      <c r="C11" s="8" t="s">
        <v>135</v>
      </c>
      <c r="D11" s="9">
        <v>1</v>
      </c>
      <c r="E11" s="9">
        <v>50</v>
      </c>
      <c r="F11" s="15">
        <v>1</v>
      </c>
      <c r="G11" s="17">
        <v>0</v>
      </c>
      <c r="H11" s="17">
        <v>1</v>
      </c>
      <c r="I11" s="17">
        <v>0</v>
      </c>
      <c r="J11" s="17">
        <v>1</v>
      </c>
      <c r="K11" s="17">
        <v>0</v>
      </c>
      <c r="L11" s="17">
        <v>0</v>
      </c>
      <c r="M11" s="17">
        <v>-10</v>
      </c>
      <c r="N11" s="17">
        <v>0</v>
      </c>
      <c r="O11" s="17">
        <v>-15</v>
      </c>
      <c r="P11" s="17">
        <v>0</v>
      </c>
      <c r="Q11" s="17">
        <v>0</v>
      </c>
      <c r="R11" s="4">
        <f t="shared" si="0"/>
        <v>0.5714285714285714</v>
      </c>
      <c r="S11" s="3">
        <f t="shared" si="1"/>
        <v>25</v>
      </c>
    </row>
    <row r="12" spans="1:19" x14ac:dyDescent="0.2">
      <c r="A12" s="8" t="s">
        <v>134</v>
      </c>
      <c r="B12" s="8" t="s">
        <v>46</v>
      </c>
      <c r="C12" s="8" t="s">
        <v>135</v>
      </c>
      <c r="D12" s="9">
        <v>1</v>
      </c>
      <c r="E12" s="9">
        <v>50</v>
      </c>
      <c r="F12" s="15">
        <v>1</v>
      </c>
      <c r="G12" s="17">
        <v>0</v>
      </c>
      <c r="H12" s="17">
        <v>1</v>
      </c>
      <c r="I12" s="17">
        <v>0</v>
      </c>
      <c r="J12" s="17">
        <v>0</v>
      </c>
      <c r="K12" s="17">
        <v>0</v>
      </c>
      <c r="L12" s="17">
        <v>0</v>
      </c>
      <c r="M12" s="17">
        <v>-10</v>
      </c>
      <c r="N12" s="17">
        <v>0</v>
      </c>
      <c r="O12" s="17">
        <v>-15</v>
      </c>
      <c r="P12" s="17">
        <v>0</v>
      </c>
      <c r="Q12" s="17">
        <v>0</v>
      </c>
      <c r="R12" s="4">
        <f t="shared" si="0"/>
        <v>0.42857142857142855</v>
      </c>
      <c r="S12" s="3">
        <f t="shared" si="1"/>
        <v>25</v>
      </c>
    </row>
    <row r="13" spans="1:19" x14ac:dyDescent="0.2">
      <c r="A13" s="8" t="s">
        <v>141</v>
      </c>
      <c r="B13" s="8" t="s">
        <v>142</v>
      </c>
      <c r="C13" s="8" t="s">
        <v>135</v>
      </c>
      <c r="D13" s="9">
        <v>1</v>
      </c>
      <c r="E13" s="9">
        <v>50</v>
      </c>
      <c r="F13" s="15">
        <v>0</v>
      </c>
      <c r="G13" s="17">
        <v>0</v>
      </c>
      <c r="H13" s="17">
        <v>1</v>
      </c>
      <c r="I13" s="17">
        <v>0</v>
      </c>
      <c r="J13" s="17">
        <v>1</v>
      </c>
      <c r="K13" s="17">
        <v>0</v>
      </c>
      <c r="L13" s="17">
        <v>1</v>
      </c>
      <c r="M13" s="17">
        <v>-10</v>
      </c>
      <c r="N13" s="17">
        <v>0</v>
      </c>
      <c r="O13" s="17">
        <v>-15</v>
      </c>
      <c r="P13" s="17">
        <v>0</v>
      </c>
      <c r="Q13" s="17">
        <v>0</v>
      </c>
      <c r="R13" s="4">
        <f t="shared" si="0"/>
        <v>0.5714285714285714</v>
      </c>
      <c r="S13" s="3">
        <f t="shared" si="1"/>
        <v>25</v>
      </c>
    </row>
    <row r="14" spans="1:19" x14ac:dyDescent="0.2">
      <c r="A14" s="8" t="s">
        <v>136</v>
      </c>
      <c r="B14" s="8" t="s">
        <v>76</v>
      </c>
      <c r="C14" s="8" t="s">
        <v>135</v>
      </c>
      <c r="D14" s="9">
        <v>1</v>
      </c>
      <c r="E14" s="9">
        <v>50</v>
      </c>
      <c r="F14" s="15">
        <v>0</v>
      </c>
      <c r="G14" s="17">
        <v>0</v>
      </c>
      <c r="H14" s="17">
        <v>1</v>
      </c>
      <c r="I14" s="17">
        <v>0</v>
      </c>
      <c r="J14" s="17">
        <v>0</v>
      </c>
      <c r="K14" s="17">
        <v>0</v>
      </c>
      <c r="L14" s="17">
        <v>0</v>
      </c>
      <c r="M14" s="17">
        <v>-10</v>
      </c>
      <c r="N14" s="17">
        <v>0</v>
      </c>
      <c r="O14" s="17">
        <v>-15</v>
      </c>
      <c r="P14" s="17">
        <v>0</v>
      </c>
      <c r="Q14" s="17">
        <v>0</v>
      </c>
      <c r="R14" s="4">
        <f t="shared" si="0"/>
        <v>0.2857142857142857</v>
      </c>
      <c r="S14" s="3">
        <f t="shared" si="1"/>
        <v>25</v>
      </c>
    </row>
    <row r="15" spans="1:19" x14ac:dyDescent="0.2">
      <c r="A15" s="8" t="s">
        <v>139</v>
      </c>
      <c r="B15" s="8" t="s">
        <v>138</v>
      </c>
      <c r="C15" s="8" t="s">
        <v>135</v>
      </c>
      <c r="D15" s="9">
        <v>1</v>
      </c>
      <c r="E15" s="9">
        <v>50</v>
      </c>
      <c r="F15" s="15">
        <v>1</v>
      </c>
      <c r="G15" s="17">
        <v>0</v>
      </c>
      <c r="H15" s="17">
        <v>1</v>
      </c>
      <c r="I15" s="17">
        <v>0</v>
      </c>
      <c r="J15" s="17">
        <v>1</v>
      </c>
      <c r="K15" s="17">
        <v>0</v>
      </c>
      <c r="L15" s="17">
        <v>0</v>
      </c>
      <c r="M15" s="17">
        <v>-10</v>
      </c>
      <c r="N15" s="17">
        <v>0</v>
      </c>
      <c r="O15" s="17">
        <v>-15</v>
      </c>
      <c r="P15" s="17">
        <v>0</v>
      </c>
      <c r="Q15" s="17">
        <v>0</v>
      </c>
      <c r="R15" s="4">
        <f t="shared" si="0"/>
        <v>0.5714285714285714</v>
      </c>
      <c r="S15" s="3">
        <f t="shared" si="1"/>
        <v>25</v>
      </c>
    </row>
    <row r="16" spans="1:19" x14ac:dyDescent="0.2">
      <c r="A16" s="8" t="s">
        <v>143</v>
      </c>
      <c r="B16" s="8" t="s">
        <v>144</v>
      </c>
      <c r="C16" s="8" t="s">
        <v>135</v>
      </c>
      <c r="D16" s="9">
        <v>1</v>
      </c>
      <c r="E16" s="9">
        <v>50</v>
      </c>
      <c r="F16" s="15">
        <v>1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-10</v>
      </c>
      <c r="N16" s="17">
        <v>0</v>
      </c>
      <c r="O16" s="17">
        <v>-15</v>
      </c>
      <c r="P16" s="17">
        <v>0</v>
      </c>
      <c r="Q16" s="17">
        <v>0</v>
      </c>
      <c r="R16" s="4">
        <f t="shared" si="0"/>
        <v>0.2857142857142857</v>
      </c>
      <c r="S16" s="3">
        <f t="shared" si="1"/>
        <v>25</v>
      </c>
    </row>
    <row r="17" spans="1:19" x14ac:dyDescent="0.2">
      <c r="A17" s="8" t="s">
        <v>140</v>
      </c>
      <c r="B17" s="8" t="s">
        <v>49</v>
      </c>
      <c r="C17" s="8" t="s">
        <v>135</v>
      </c>
      <c r="D17" s="9">
        <v>1</v>
      </c>
      <c r="E17" s="9">
        <v>50</v>
      </c>
      <c r="F17" s="15">
        <v>1</v>
      </c>
      <c r="G17" s="17">
        <v>0</v>
      </c>
      <c r="H17" s="17">
        <v>1</v>
      </c>
      <c r="I17" s="17">
        <v>0</v>
      </c>
      <c r="J17" s="17">
        <v>1</v>
      </c>
      <c r="K17" s="17">
        <v>0</v>
      </c>
      <c r="L17" s="17">
        <v>1</v>
      </c>
      <c r="M17" s="17">
        <v>-10</v>
      </c>
      <c r="N17" s="17">
        <v>0</v>
      </c>
      <c r="O17" s="17">
        <v>-15</v>
      </c>
      <c r="P17" s="17">
        <v>0</v>
      </c>
      <c r="Q17" s="17">
        <v>0</v>
      </c>
      <c r="R17" s="4">
        <f t="shared" si="0"/>
        <v>0.7142857142857143</v>
      </c>
      <c r="S17" s="3">
        <f t="shared" si="1"/>
        <v>25</v>
      </c>
    </row>
    <row r="18" spans="1:19" x14ac:dyDescent="0.2">
      <c r="A18" s="8" t="s">
        <v>29</v>
      </c>
      <c r="B18" s="8" t="s">
        <v>30</v>
      </c>
      <c r="C18" s="8" t="s">
        <v>31</v>
      </c>
      <c r="D18" s="9">
        <v>1</v>
      </c>
      <c r="E18" s="9">
        <v>50</v>
      </c>
      <c r="F18" s="9">
        <v>1</v>
      </c>
      <c r="G18" s="9">
        <v>115</v>
      </c>
      <c r="H18" s="9">
        <v>1</v>
      </c>
      <c r="I18" s="9">
        <v>50</v>
      </c>
      <c r="J18" s="9">
        <v>1</v>
      </c>
      <c r="K18" s="17">
        <v>0</v>
      </c>
      <c r="L18" s="9">
        <v>1</v>
      </c>
      <c r="M18" s="9">
        <v>40</v>
      </c>
      <c r="N18" s="9">
        <v>1</v>
      </c>
      <c r="O18" s="9">
        <v>30</v>
      </c>
      <c r="P18" s="17">
        <v>1</v>
      </c>
      <c r="Q18" s="17">
        <v>150</v>
      </c>
      <c r="R18" s="4">
        <f t="shared" si="0"/>
        <v>1</v>
      </c>
      <c r="S18" s="3">
        <f t="shared" si="1"/>
        <v>435</v>
      </c>
    </row>
    <row r="19" spans="1:19" x14ac:dyDescent="0.2">
      <c r="A19" s="8" t="s">
        <v>32</v>
      </c>
      <c r="B19" s="8" t="s">
        <v>33</v>
      </c>
      <c r="C19" s="8" t="s">
        <v>31</v>
      </c>
      <c r="D19" s="9">
        <v>1</v>
      </c>
      <c r="E19" s="9">
        <v>50</v>
      </c>
      <c r="F19" s="9">
        <v>1</v>
      </c>
      <c r="G19" s="9">
        <v>115</v>
      </c>
      <c r="H19" s="9">
        <v>1</v>
      </c>
      <c r="I19" s="9">
        <v>50</v>
      </c>
      <c r="J19" s="9">
        <v>1</v>
      </c>
      <c r="K19" s="17">
        <v>0</v>
      </c>
      <c r="L19" s="9">
        <v>0</v>
      </c>
      <c r="M19" s="9">
        <v>40</v>
      </c>
      <c r="N19" s="9">
        <v>1</v>
      </c>
      <c r="O19" s="9">
        <v>30</v>
      </c>
      <c r="P19" s="17">
        <v>1</v>
      </c>
      <c r="Q19" s="17">
        <v>150</v>
      </c>
      <c r="R19" s="4">
        <f t="shared" si="0"/>
        <v>0.8571428571428571</v>
      </c>
      <c r="S19" s="3">
        <f t="shared" si="1"/>
        <v>435</v>
      </c>
    </row>
    <row r="20" spans="1:19" x14ac:dyDescent="0.2">
      <c r="A20" s="8" t="s">
        <v>37</v>
      </c>
      <c r="B20" s="8" t="s">
        <v>38</v>
      </c>
      <c r="C20" s="8" t="s">
        <v>31</v>
      </c>
      <c r="D20" s="9">
        <v>1</v>
      </c>
      <c r="E20" s="9">
        <v>50</v>
      </c>
      <c r="F20" s="9">
        <v>1</v>
      </c>
      <c r="G20" s="9">
        <v>115</v>
      </c>
      <c r="H20" s="9">
        <v>1</v>
      </c>
      <c r="I20" s="9">
        <v>50</v>
      </c>
      <c r="J20" s="9">
        <v>1</v>
      </c>
      <c r="K20" s="17">
        <v>0</v>
      </c>
      <c r="L20" s="9">
        <v>1</v>
      </c>
      <c r="M20" s="9">
        <v>40</v>
      </c>
      <c r="N20" s="9">
        <v>1</v>
      </c>
      <c r="O20" s="9">
        <v>30</v>
      </c>
      <c r="P20" s="17">
        <v>1</v>
      </c>
      <c r="Q20" s="17">
        <v>150</v>
      </c>
      <c r="R20" s="4">
        <f t="shared" si="0"/>
        <v>1</v>
      </c>
      <c r="S20" s="3">
        <f t="shared" si="1"/>
        <v>435</v>
      </c>
    </row>
    <row r="21" spans="1:19" x14ac:dyDescent="0.2">
      <c r="A21" s="8" t="s">
        <v>41</v>
      </c>
      <c r="B21" s="8" t="s">
        <v>42</v>
      </c>
      <c r="C21" s="8" t="s">
        <v>31</v>
      </c>
      <c r="D21" s="9">
        <v>1</v>
      </c>
      <c r="E21" s="9">
        <v>50</v>
      </c>
      <c r="F21" s="9">
        <v>1</v>
      </c>
      <c r="G21" s="9">
        <v>115</v>
      </c>
      <c r="H21" s="9">
        <v>1</v>
      </c>
      <c r="I21" s="9">
        <v>50</v>
      </c>
      <c r="J21" s="9">
        <v>1</v>
      </c>
      <c r="K21" s="17">
        <v>0</v>
      </c>
      <c r="L21" s="9">
        <v>1</v>
      </c>
      <c r="M21" s="9">
        <v>40</v>
      </c>
      <c r="N21" s="9">
        <v>0</v>
      </c>
      <c r="O21" s="9">
        <v>30</v>
      </c>
      <c r="P21" s="17">
        <v>1</v>
      </c>
      <c r="Q21" s="17">
        <v>150</v>
      </c>
      <c r="R21" s="4">
        <f t="shared" si="0"/>
        <v>0.8571428571428571</v>
      </c>
      <c r="S21" s="3">
        <f t="shared" si="1"/>
        <v>435</v>
      </c>
    </row>
    <row r="22" spans="1:19" x14ac:dyDescent="0.2">
      <c r="A22" s="8" t="s">
        <v>43</v>
      </c>
      <c r="B22" s="8" t="s">
        <v>44</v>
      </c>
      <c r="C22" s="8" t="s">
        <v>31</v>
      </c>
      <c r="D22" s="9">
        <v>1</v>
      </c>
      <c r="E22" s="9">
        <v>50</v>
      </c>
      <c r="F22" s="9">
        <v>1</v>
      </c>
      <c r="G22" s="9">
        <v>115</v>
      </c>
      <c r="H22" s="9">
        <v>0</v>
      </c>
      <c r="I22" s="9">
        <v>50</v>
      </c>
      <c r="J22" s="9">
        <v>1</v>
      </c>
      <c r="K22" s="17">
        <v>0</v>
      </c>
      <c r="L22" s="9">
        <v>1</v>
      </c>
      <c r="M22" s="9">
        <v>40</v>
      </c>
      <c r="N22" s="9">
        <v>1</v>
      </c>
      <c r="O22" s="9">
        <v>30</v>
      </c>
      <c r="P22" s="17">
        <v>1</v>
      </c>
      <c r="Q22" s="17">
        <v>150</v>
      </c>
      <c r="R22" s="4">
        <f t="shared" si="0"/>
        <v>0.8571428571428571</v>
      </c>
      <c r="S22" s="3">
        <f t="shared" si="1"/>
        <v>435</v>
      </c>
    </row>
    <row r="23" spans="1:19" x14ac:dyDescent="0.2">
      <c r="A23" s="8" t="s">
        <v>69</v>
      </c>
      <c r="B23" s="8" t="s">
        <v>70</v>
      </c>
      <c r="C23" s="8" t="s">
        <v>31</v>
      </c>
      <c r="D23" s="9">
        <v>1</v>
      </c>
      <c r="E23" s="9">
        <v>50</v>
      </c>
      <c r="F23" s="9">
        <v>0</v>
      </c>
      <c r="G23" s="9">
        <v>115</v>
      </c>
      <c r="H23" s="9">
        <v>1</v>
      </c>
      <c r="I23" s="9">
        <v>50</v>
      </c>
      <c r="J23" s="9">
        <v>0</v>
      </c>
      <c r="K23" s="17">
        <v>0</v>
      </c>
      <c r="L23" s="9">
        <v>1</v>
      </c>
      <c r="M23" s="9">
        <v>40</v>
      </c>
      <c r="N23" s="9">
        <v>1</v>
      </c>
      <c r="O23" s="9">
        <v>30</v>
      </c>
      <c r="P23" s="17">
        <v>1</v>
      </c>
      <c r="Q23" s="17">
        <v>150</v>
      </c>
      <c r="R23" s="4">
        <f t="shared" si="0"/>
        <v>0.7142857142857143</v>
      </c>
      <c r="S23" s="3">
        <f t="shared" si="1"/>
        <v>435</v>
      </c>
    </row>
    <row r="24" spans="1:19" x14ac:dyDescent="0.2">
      <c r="A24" s="8" t="s">
        <v>71</v>
      </c>
      <c r="B24" s="8" t="s">
        <v>72</v>
      </c>
      <c r="C24" s="8" t="s">
        <v>31</v>
      </c>
      <c r="D24" s="9">
        <v>1</v>
      </c>
      <c r="E24" s="9">
        <v>50</v>
      </c>
      <c r="F24" s="9">
        <v>1</v>
      </c>
      <c r="G24" s="9">
        <v>115</v>
      </c>
      <c r="H24" s="9">
        <v>1</v>
      </c>
      <c r="I24" s="9">
        <v>50</v>
      </c>
      <c r="J24" s="9">
        <v>1</v>
      </c>
      <c r="K24" s="17">
        <v>0</v>
      </c>
      <c r="L24" s="9">
        <v>1</v>
      </c>
      <c r="M24" s="9">
        <v>40</v>
      </c>
      <c r="N24" s="9">
        <v>1</v>
      </c>
      <c r="O24" s="9">
        <v>30</v>
      </c>
      <c r="P24" s="17">
        <v>1</v>
      </c>
      <c r="Q24" s="17">
        <v>150</v>
      </c>
      <c r="R24" s="4">
        <f t="shared" si="0"/>
        <v>1</v>
      </c>
      <c r="S24" s="3">
        <f t="shared" si="1"/>
        <v>435</v>
      </c>
    </row>
    <row r="25" spans="1:19" x14ac:dyDescent="0.2">
      <c r="A25" s="8" t="s">
        <v>78</v>
      </c>
      <c r="B25" s="8" t="s">
        <v>79</v>
      </c>
      <c r="C25" s="8" t="s">
        <v>31</v>
      </c>
      <c r="D25" s="9">
        <v>1</v>
      </c>
      <c r="E25" s="9">
        <v>50</v>
      </c>
      <c r="F25" s="9">
        <v>1</v>
      </c>
      <c r="G25" s="9">
        <v>115</v>
      </c>
      <c r="H25" s="9">
        <v>1</v>
      </c>
      <c r="I25" s="9">
        <v>50</v>
      </c>
      <c r="J25" s="9">
        <v>0</v>
      </c>
      <c r="K25" s="17">
        <v>0</v>
      </c>
      <c r="L25" s="9">
        <v>1</v>
      </c>
      <c r="M25" s="9">
        <v>40</v>
      </c>
      <c r="N25" s="9">
        <v>1</v>
      </c>
      <c r="O25" s="9">
        <v>30</v>
      </c>
      <c r="P25" s="17">
        <v>1</v>
      </c>
      <c r="Q25" s="17">
        <v>150</v>
      </c>
      <c r="R25" s="4">
        <f t="shared" si="0"/>
        <v>0.8571428571428571</v>
      </c>
      <c r="S25" s="3">
        <f t="shared" si="1"/>
        <v>435</v>
      </c>
    </row>
    <row r="26" spans="1:19" x14ac:dyDescent="0.2">
      <c r="A26" s="8" t="s">
        <v>82</v>
      </c>
      <c r="B26" s="8" t="s">
        <v>74</v>
      </c>
      <c r="C26" s="8" t="s">
        <v>31</v>
      </c>
      <c r="D26" s="9">
        <v>1</v>
      </c>
      <c r="E26" s="9">
        <v>50</v>
      </c>
      <c r="F26" s="9">
        <v>1</v>
      </c>
      <c r="G26" s="9">
        <v>115</v>
      </c>
      <c r="H26" s="9">
        <v>1</v>
      </c>
      <c r="I26" s="9">
        <v>50</v>
      </c>
      <c r="J26" s="9">
        <v>1</v>
      </c>
      <c r="K26" s="17">
        <v>0</v>
      </c>
      <c r="L26" s="9">
        <v>0</v>
      </c>
      <c r="M26" s="9">
        <v>40</v>
      </c>
      <c r="N26" s="9">
        <v>1</v>
      </c>
      <c r="O26" s="9">
        <v>30</v>
      </c>
      <c r="P26" s="17">
        <v>1</v>
      </c>
      <c r="Q26" s="17">
        <v>150</v>
      </c>
      <c r="R26" s="4">
        <f t="shared" si="0"/>
        <v>0.8571428571428571</v>
      </c>
      <c r="S26" s="3">
        <f t="shared" si="1"/>
        <v>435</v>
      </c>
    </row>
    <row r="27" spans="1:19" x14ac:dyDescent="0.2">
      <c r="A27" s="8" t="s">
        <v>85</v>
      </c>
      <c r="B27" s="8" t="s">
        <v>86</v>
      </c>
      <c r="C27" s="8" t="s">
        <v>31</v>
      </c>
      <c r="D27" s="9">
        <v>1</v>
      </c>
      <c r="E27" s="9">
        <v>50</v>
      </c>
      <c r="F27" s="9">
        <v>1</v>
      </c>
      <c r="G27" s="9">
        <v>115</v>
      </c>
      <c r="H27" s="9">
        <v>1</v>
      </c>
      <c r="I27" s="9">
        <v>50</v>
      </c>
      <c r="J27" s="9">
        <v>1</v>
      </c>
      <c r="K27" s="17">
        <v>0</v>
      </c>
      <c r="L27" s="9">
        <v>1</v>
      </c>
      <c r="M27" s="9">
        <v>40</v>
      </c>
      <c r="N27" s="9">
        <v>1</v>
      </c>
      <c r="O27" s="9">
        <v>30</v>
      </c>
      <c r="P27" s="17">
        <v>1</v>
      </c>
      <c r="Q27" s="17">
        <v>150</v>
      </c>
      <c r="R27" s="4">
        <f t="shared" si="0"/>
        <v>1</v>
      </c>
      <c r="S27" s="3">
        <f t="shared" si="1"/>
        <v>435</v>
      </c>
    </row>
    <row r="28" spans="1:19" x14ac:dyDescent="0.2">
      <c r="A28" s="8" t="s">
        <v>64</v>
      </c>
      <c r="B28" s="8" t="s">
        <v>65</v>
      </c>
      <c r="C28" s="8" t="s">
        <v>66</v>
      </c>
      <c r="D28" s="9">
        <v>1</v>
      </c>
      <c r="E28" s="9">
        <v>150</v>
      </c>
      <c r="F28" s="9">
        <v>0</v>
      </c>
      <c r="G28" s="9">
        <v>0</v>
      </c>
      <c r="H28" s="9">
        <v>1</v>
      </c>
      <c r="I28" s="9">
        <v>0</v>
      </c>
      <c r="J28" s="9">
        <v>1</v>
      </c>
      <c r="K28" s="17">
        <v>0</v>
      </c>
      <c r="L28" s="9">
        <v>1</v>
      </c>
      <c r="M28" s="9">
        <v>40</v>
      </c>
      <c r="N28" s="9">
        <v>0</v>
      </c>
      <c r="O28" s="9">
        <v>-15</v>
      </c>
      <c r="P28" s="17">
        <v>0</v>
      </c>
      <c r="Q28" s="17">
        <v>0</v>
      </c>
      <c r="R28" s="4">
        <f t="shared" si="0"/>
        <v>0.5714285714285714</v>
      </c>
      <c r="S28" s="3">
        <f t="shared" si="1"/>
        <v>175</v>
      </c>
    </row>
    <row r="29" spans="1:19" x14ac:dyDescent="0.2">
      <c r="A29" s="8" t="s">
        <v>75</v>
      </c>
      <c r="B29" s="8" t="s">
        <v>76</v>
      </c>
      <c r="C29" s="8" t="s">
        <v>66</v>
      </c>
      <c r="D29" s="9">
        <v>1</v>
      </c>
      <c r="E29" s="9">
        <v>150</v>
      </c>
      <c r="F29" s="9">
        <v>1</v>
      </c>
      <c r="G29" s="9">
        <v>0</v>
      </c>
      <c r="H29" s="9">
        <v>1</v>
      </c>
      <c r="I29" s="9">
        <v>0</v>
      </c>
      <c r="J29" s="9">
        <v>0</v>
      </c>
      <c r="K29" s="17">
        <v>0</v>
      </c>
      <c r="L29" s="9">
        <v>1</v>
      </c>
      <c r="M29" s="9">
        <v>40</v>
      </c>
      <c r="N29" s="9">
        <v>0</v>
      </c>
      <c r="O29" s="9">
        <v>-15</v>
      </c>
      <c r="P29" s="17">
        <v>0</v>
      </c>
      <c r="Q29" s="17">
        <v>0</v>
      </c>
      <c r="R29" s="4">
        <f t="shared" si="0"/>
        <v>0.5714285714285714</v>
      </c>
      <c r="S29" s="3">
        <f t="shared" si="1"/>
        <v>175</v>
      </c>
    </row>
    <row r="30" spans="1:19" x14ac:dyDescent="0.2">
      <c r="A30" s="8" t="s">
        <v>77</v>
      </c>
      <c r="B30" s="8" t="s">
        <v>57</v>
      </c>
      <c r="C30" s="8" t="s">
        <v>66</v>
      </c>
      <c r="D30" s="9">
        <v>1</v>
      </c>
      <c r="E30" s="9">
        <v>150</v>
      </c>
      <c r="F30" s="9">
        <v>0</v>
      </c>
      <c r="G30" s="9">
        <v>0</v>
      </c>
      <c r="H30" s="9">
        <v>1</v>
      </c>
      <c r="I30" s="9">
        <v>0</v>
      </c>
      <c r="J30" s="9">
        <v>1</v>
      </c>
      <c r="K30" s="17">
        <v>0</v>
      </c>
      <c r="L30" s="9">
        <v>1</v>
      </c>
      <c r="M30" s="9">
        <v>40</v>
      </c>
      <c r="N30" s="9">
        <v>0</v>
      </c>
      <c r="O30" s="9">
        <v>-15</v>
      </c>
      <c r="P30" s="17">
        <v>0</v>
      </c>
      <c r="Q30" s="17">
        <v>0</v>
      </c>
      <c r="R30" s="4">
        <f t="shared" si="0"/>
        <v>0.5714285714285714</v>
      </c>
      <c r="S30" s="3">
        <f t="shared" si="1"/>
        <v>175</v>
      </c>
    </row>
    <row r="31" spans="1:19" x14ac:dyDescent="0.2">
      <c r="A31" s="8" t="s">
        <v>80</v>
      </c>
      <c r="B31" s="8" t="s">
        <v>81</v>
      </c>
      <c r="C31" s="8" t="s">
        <v>66</v>
      </c>
      <c r="D31" s="9">
        <v>1</v>
      </c>
      <c r="E31" s="9">
        <v>150</v>
      </c>
      <c r="F31" s="9">
        <v>1</v>
      </c>
      <c r="G31" s="9">
        <v>0</v>
      </c>
      <c r="H31" s="9">
        <v>1</v>
      </c>
      <c r="I31" s="9">
        <v>0</v>
      </c>
      <c r="J31" s="9">
        <v>1</v>
      </c>
      <c r="K31" s="17">
        <v>0</v>
      </c>
      <c r="L31" s="9">
        <v>1</v>
      </c>
      <c r="M31" s="9">
        <v>40</v>
      </c>
      <c r="N31" s="9">
        <v>0</v>
      </c>
      <c r="O31" s="9">
        <v>-15</v>
      </c>
      <c r="P31" s="17">
        <v>0</v>
      </c>
      <c r="Q31" s="17">
        <v>0</v>
      </c>
      <c r="R31" s="4">
        <f t="shared" si="0"/>
        <v>0.7142857142857143</v>
      </c>
      <c r="S31" s="3">
        <f t="shared" si="1"/>
        <v>175</v>
      </c>
    </row>
    <row r="32" spans="1:19" x14ac:dyDescent="0.2">
      <c r="A32" s="8" t="s">
        <v>97</v>
      </c>
      <c r="B32" s="8" t="s">
        <v>98</v>
      </c>
      <c r="C32" s="8" t="s">
        <v>66</v>
      </c>
      <c r="D32" s="9">
        <v>1</v>
      </c>
      <c r="E32" s="9">
        <v>150</v>
      </c>
      <c r="F32" s="9">
        <v>0</v>
      </c>
      <c r="G32" s="9">
        <v>0</v>
      </c>
      <c r="H32" s="9">
        <v>0</v>
      </c>
      <c r="I32" s="9">
        <v>0</v>
      </c>
      <c r="J32" s="9">
        <v>1</v>
      </c>
      <c r="K32" s="17">
        <v>0</v>
      </c>
      <c r="L32" s="9">
        <v>1</v>
      </c>
      <c r="M32" s="9">
        <v>40</v>
      </c>
      <c r="N32" s="9">
        <v>0</v>
      </c>
      <c r="O32" s="9">
        <v>-15</v>
      </c>
      <c r="P32" s="17">
        <v>0</v>
      </c>
      <c r="Q32" s="17">
        <v>0</v>
      </c>
      <c r="R32" s="4">
        <f t="shared" si="0"/>
        <v>0.42857142857142855</v>
      </c>
      <c r="S32" s="3">
        <f t="shared" si="1"/>
        <v>175</v>
      </c>
    </row>
    <row r="33" spans="1:19" x14ac:dyDescent="0.2">
      <c r="A33" s="8" t="s">
        <v>101</v>
      </c>
      <c r="B33" s="8" t="s">
        <v>102</v>
      </c>
      <c r="C33" s="8" t="s">
        <v>66</v>
      </c>
      <c r="D33" s="9">
        <v>1</v>
      </c>
      <c r="E33" s="9">
        <v>150</v>
      </c>
      <c r="F33" s="9">
        <v>0</v>
      </c>
      <c r="G33" s="9">
        <v>0</v>
      </c>
      <c r="H33" s="9">
        <v>1</v>
      </c>
      <c r="I33" s="9">
        <v>0</v>
      </c>
      <c r="J33" s="9">
        <v>1</v>
      </c>
      <c r="K33" s="17">
        <v>0</v>
      </c>
      <c r="L33" s="9">
        <v>1</v>
      </c>
      <c r="M33" s="9">
        <v>40</v>
      </c>
      <c r="N33" s="9">
        <v>0</v>
      </c>
      <c r="O33" s="9">
        <v>-15</v>
      </c>
      <c r="P33" s="17">
        <v>0</v>
      </c>
      <c r="Q33" s="17">
        <v>0</v>
      </c>
      <c r="R33" s="4">
        <f t="shared" si="0"/>
        <v>0.5714285714285714</v>
      </c>
      <c r="S33" s="3">
        <f t="shared" si="1"/>
        <v>175</v>
      </c>
    </row>
    <row r="34" spans="1:19" x14ac:dyDescent="0.2">
      <c r="A34" s="8" t="s">
        <v>34</v>
      </c>
      <c r="B34" s="8" t="s">
        <v>35</v>
      </c>
      <c r="C34" s="8" t="s">
        <v>36</v>
      </c>
      <c r="D34" s="9">
        <v>1</v>
      </c>
      <c r="E34" s="9">
        <v>50</v>
      </c>
      <c r="F34" s="9">
        <v>1</v>
      </c>
      <c r="G34" s="9">
        <v>0</v>
      </c>
      <c r="H34" s="9">
        <v>0</v>
      </c>
      <c r="I34" s="9">
        <v>0</v>
      </c>
      <c r="J34" s="9">
        <v>0</v>
      </c>
      <c r="K34" s="17">
        <v>0</v>
      </c>
      <c r="L34" s="9">
        <v>1</v>
      </c>
      <c r="M34" s="9">
        <v>50</v>
      </c>
      <c r="N34" s="9">
        <v>0</v>
      </c>
      <c r="O34" s="9">
        <v>30</v>
      </c>
      <c r="P34" s="17">
        <v>1</v>
      </c>
      <c r="Q34" s="17">
        <v>150</v>
      </c>
      <c r="R34" s="4">
        <f t="shared" si="0"/>
        <v>0.5714285714285714</v>
      </c>
      <c r="S34" s="3">
        <f t="shared" si="1"/>
        <v>280</v>
      </c>
    </row>
    <row r="35" spans="1:19" x14ac:dyDescent="0.2">
      <c r="A35" s="8" t="s">
        <v>39</v>
      </c>
      <c r="B35" s="8" t="s">
        <v>40</v>
      </c>
      <c r="C35" s="8" t="s">
        <v>36</v>
      </c>
      <c r="D35" s="9">
        <v>1</v>
      </c>
      <c r="E35" s="9">
        <v>50</v>
      </c>
      <c r="F35" s="9">
        <v>1</v>
      </c>
      <c r="G35" s="9">
        <v>0</v>
      </c>
      <c r="H35" s="9">
        <v>1</v>
      </c>
      <c r="I35" s="9">
        <v>0</v>
      </c>
      <c r="J35" s="9">
        <v>1</v>
      </c>
      <c r="K35" s="17">
        <v>0</v>
      </c>
      <c r="L35" s="9">
        <v>1</v>
      </c>
      <c r="M35" s="9">
        <v>50</v>
      </c>
      <c r="N35" s="9">
        <v>0</v>
      </c>
      <c r="O35" s="9">
        <v>30</v>
      </c>
      <c r="P35" s="17">
        <v>1</v>
      </c>
      <c r="Q35" s="17">
        <v>150</v>
      </c>
      <c r="R35" s="4">
        <f t="shared" ref="R35:R64" si="2">(D35+F35+H35+J35+L35+N35+P35)/7</f>
        <v>0.8571428571428571</v>
      </c>
      <c r="S35" s="3">
        <f t="shared" ref="S35:S64" si="3">E35+G35+I35+K35+M35+O35+Q35</f>
        <v>280</v>
      </c>
    </row>
    <row r="36" spans="1:19" x14ac:dyDescent="0.2">
      <c r="A36" s="8" t="s">
        <v>106</v>
      </c>
      <c r="B36" s="8" t="s">
        <v>107</v>
      </c>
      <c r="C36" s="8" t="s">
        <v>36</v>
      </c>
      <c r="D36" s="9">
        <v>1</v>
      </c>
      <c r="E36" s="9">
        <v>50</v>
      </c>
      <c r="F36" s="9">
        <v>1</v>
      </c>
      <c r="G36" s="9">
        <v>0</v>
      </c>
      <c r="H36" s="9">
        <v>1</v>
      </c>
      <c r="I36" s="9">
        <v>0</v>
      </c>
      <c r="J36" s="9">
        <v>1</v>
      </c>
      <c r="K36" s="17">
        <v>0</v>
      </c>
      <c r="L36" s="9">
        <v>1</v>
      </c>
      <c r="M36" s="9">
        <v>50</v>
      </c>
      <c r="N36" s="9">
        <v>0</v>
      </c>
      <c r="O36" s="9">
        <v>30</v>
      </c>
      <c r="P36" s="17">
        <v>1</v>
      </c>
      <c r="Q36" s="17">
        <v>150</v>
      </c>
      <c r="R36" s="4">
        <f t="shared" si="2"/>
        <v>0.8571428571428571</v>
      </c>
      <c r="S36" s="3">
        <f t="shared" si="3"/>
        <v>280</v>
      </c>
    </row>
    <row r="37" spans="1:19" x14ac:dyDescent="0.2">
      <c r="A37" s="8" t="s">
        <v>110</v>
      </c>
      <c r="B37" s="8" t="s">
        <v>113</v>
      </c>
      <c r="C37" s="8" t="s">
        <v>36</v>
      </c>
      <c r="D37" s="9">
        <v>1</v>
      </c>
      <c r="E37" s="9">
        <v>50</v>
      </c>
      <c r="F37" s="9">
        <v>1</v>
      </c>
      <c r="G37" s="9">
        <v>0</v>
      </c>
      <c r="H37" s="9">
        <v>1</v>
      </c>
      <c r="I37" s="9">
        <v>0</v>
      </c>
      <c r="J37" s="9">
        <v>1</v>
      </c>
      <c r="K37" s="17">
        <v>0</v>
      </c>
      <c r="L37" s="9">
        <v>1</v>
      </c>
      <c r="M37" s="9">
        <v>50</v>
      </c>
      <c r="N37" s="9">
        <v>0</v>
      </c>
      <c r="O37" s="9">
        <v>30</v>
      </c>
      <c r="P37" s="17">
        <v>1</v>
      </c>
      <c r="Q37" s="17">
        <v>150</v>
      </c>
      <c r="R37" s="4">
        <f t="shared" si="2"/>
        <v>0.8571428571428571</v>
      </c>
      <c r="S37" s="3">
        <f t="shared" si="3"/>
        <v>280</v>
      </c>
    </row>
    <row r="38" spans="1:19" x14ac:dyDescent="0.2">
      <c r="A38" s="8" t="s">
        <v>58</v>
      </c>
      <c r="B38" s="8" t="s">
        <v>59</v>
      </c>
      <c r="C38" s="8" t="s">
        <v>36</v>
      </c>
      <c r="D38" s="9">
        <v>1</v>
      </c>
      <c r="E38" s="9">
        <v>50</v>
      </c>
      <c r="F38" s="9">
        <v>1</v>
      </c>
      <c r="G38" s="9">
        <v>0</v>
      </c>
      <c r="H38" s="9">
        <v>0</v>
      </c>
      <c r="I38" s="9">
        <v>0</v>
      </c>
      <c r="J38" s="9">
        <v>0</v>
      </c>
      <c r="K38" s="17">
        <v>0</v>
      </c>
      <c r="L38" s="9">
        <v>1</v>
      </c>
      <c r="M38" s="9">
        <v>50</v>
      </c>
      <c r="N38" s="9">
        <v>0</v>
      </c>
      <c r="O38" s="9">
        <v>30</v>
      </c>
      <c r="P38" s="17">
        <v>1</v>
      </c>
      <c r="Q38" s="17">
        <v>150</v>
      </c>
      <c r="R38" s="4">
        <f t="shared" si="2"/>
        <v>0.5714285714285714</v>
      </c>
      <c r="S38" s="3">
        <f t="shared" si="3"/>
        <v>280</v>
      </c>
    </row>
    <row r="39" spans="1:19" x14ac:dyDescent="0.2">
      <c r="A39" s="8" t="s">
        <v>90</v>
      </c>
      <c r="B39" s="8" t="s">
        <v>89</v>
      </c>
      <c r="C39" s="8" t="s">
        <v>36</v>
      </c>
      <c r="D39" s="9">
        <v>1</v>
      </c>
      <c r="E39" s="9">
        <v>50</v>
      </c>
      <c r="F39" s="9">
        <v>0</v>
      </c>
      <c r="G39" s="9">
        <v>0</v>
      </c>
      <c r="H39" s="9">
        <v>1</v>
      </c>
      <c r="I39" s="9">
        <v>0</v>
      </c>
      <c r="J39" s="9">
        <v>1</v>
      </c>
      <c r="K39" s="17">
        <v>0</v>
      </c>
      <c r="L39" s="9">
        <v>1</v>
      </c>
      <c r="M39" s="9">
        <v>50</v>
      </c>
      <c r="N39" s="9">
        <v>0</v>
      </c>
      <c r="O39" s="9">
        <v>30</v>
      </c>
      <c r="P39" s="17">
        <v>1</v>
      </c>
      <c r="Q39" s="17">
        <v>150</v>
      </c>
      <c r="R39" s="4">
        <f t="shared" si="2"/>
        <v>0.7142857142857143</v>
      </c>
      <c r="S39" s="3">
        <f t="shared" si="3"/>
        <v>280</v>
      </c>
    </row>
    <row r="40" spans="1:19" x14ac:dyDescent="0.2">
      <c r="A40" s="8" t="s">
        <v>62</v>
      </c>
      <c r="B40" s="8" t="s">
        <v>63</v>
      </c>
      <c r="C40" s="8" t="s">
        <v>36</v>
      </c>
      <c r="D40" s="9">
        <v>1</v>
      </c>
      <c r="E40" s="9">
        <v>50</v>
      </c>
      <c r="F40" s="9">
        <v>1</v>
      </c>
      <c r="G40" s="9">
        <v>0</v>
      </c>
      <c r="H40" s="9">
        <v>0</v>
      </c>
      <c r="I40" s="9">
        <v>0</v>
      </c>
      <c r="J40" s="9">
        <v>1</v>
      </c>
      <c r="K40" s="17">
        <v>0</v>
      </c>
      <c r="L40" s="9">
        <v>0</v>
      </c>
      <c r="M40" s="9">
        <v>50</v>
      </c>
      <c r="N40" s="9">
        <v>0</v>
      </c>
      <c r="O40" s="9">
        <v>30</v>
      </c>
      <c r="P40" s="17">
        <v>1</v>
      </c>
      <c r="Q40" s="17">
        <v>150</v>
      </c>
      <c r="R40" s="4">
        <f t="shared" si="2"/>
        <v>0.5714285714285714</v>
      </c>
      <c r="S40" s="3">
        <f t="shared" si="3"/>
        <v>280</v>
      </c>
    </row>
    <row r="41" spans="1:19" x14ac:dyDescent="0.2">
      <c r="A41" s="8" t="s">
        <v>111</v>
      </c>
      <c r="B41" s="8" t="s">
        <v>112</v>
      </c>
      <c r="C41" s="8" t="s">
        <v>36</v>
      </c>
      <c r="D41" s="9">
        <v>1</v>
      </c>
      <c r="E41" s="9">
        <v>50</v>
      </c>
      <c r="F41" s="9">
        <v>1</v>
      </c>
      <c r="G41" s="9">
        <v>0</v>
      </c>
      <c r="H41" s="9">
        <v>1</v>
      </c>
      <c r="I41" s="9">
        <v>0</v>
      </c>
      <c r="J41" s="9">
        <v>1</v>
      </c>
      <c r="K41" s="17">
        <v>0</v>
      </c>
      <c r="L41" s="9">
        <v>1</v>
      </c>
      <c r="M41" s="9">
        <v>50</v>
      </c>
      <c r="N41" s="9">
        <v>0</v>
      </c>
      <c r="O41" s="9">
        <v>30</v>
      </c>
      <c r="P41" s="17">
        <v>1</v>
      </c>
      <c r="Q41" s="17">
        <v>150</v>
      </c>
      <c r="R41" s="4">
        <f t="shared" si="2"/>
        <v>0.8571428571428571</v>
      </c>
      <c r="S41" s="3">
        <f t="shared" si="3"/>
        <v>280</v>
      </c>
    </row>
    <row r="42" spans="1:19" x14ac:dyDescent="0.2">
      <c r="A42" s="8" t="s">
        <v>91</v>
      </c>
      <c r="B42" s="8" t="s">
        <v>92</v>
      </c>
      <c r="C42" s="8" t="s">
        <v>36</v>
      </c>
      <c r="D42" s="9">
        <v>1</v>
      </c>
      <c r="E42" s="9">
        <v>50</v>
      </c>
      <c r="F42" s="9">
        <v>1</v>
      </c>
      <c r="G42" s="9">
        <v>0</v>
      </c>
      <c r="H42" s="9">
        <v>0</v>
      </c>
      <c r="I42" s="9">
        <v>0</v>
      </c>
      <c r="J42" s="9">
        <v>0</v>
      </c>
      <c r="K42" s="17">
        <v>0</v>
      </c>
      <c r="L42" s="9">
        <v>1</v>
      </c>
      <c r="M42" s="9">
        <v>50</v>
      </c>
      <c r="N42" s="9">
        <v>1</v>
      </c>
      <c r="O42" s="9">
        <v>30</v>
      </c>
      <c r="P42" s="17">
        <v>1</v>
      </c>
      <c r="Q42" s="17">
        <v>150</v>
      </c>
      <c r="R42" s="4">
        <f t="shared" si="2"/>
        <v>0.7142857142857143</v>
      </c>
      <c r="S42" s="3">
        <f t="shared" si="3"/>
        <v>280</v>
      </c>
    </row>
    <row r="43" spans="1:19" x14ac:dyDescent="0.2">
      <c r="A43" s="8" t="s">
        <v>93</v>
      </c>
      <c r="B43" s="8" t="s">
        <v>94</v>
      </c>
      <c r="C43" s="8" t="s">
        <v>36</v>
      </c>
      <c r="D43" s="9">
        <v>1</v>
      </c>
      <c r="E43" s="9">
        <v>50</v>
      </c>
      <c r="F43" s="9">
        <v>0</v>
      </c>
      <c r="G43" s="9">
        <v>0</v>
      </c>
      <c r="H43" s="9">
        <v>0</v>
      </c>
      <c r="I43" s="9">
        <v>0</v>
      </c>
      <c r="J43" s="9">
        <v>1</v>
      </c>
      <c r="K43" s="17">
        <v>0</v>
      </c>
      <c r="L43" s="9">
        <v>0</v>
      </c>
      <c r="M43" s="9">
        <v>50</v>
      </c>
      <c r="N43" s="9">
        <v>0</v>
      </c>
      <c r="O43" s="9">
        <v>30</v>
      </c>
      <c r="P43" s="17">
        <v>1</v>
      </c>
      <c r="Q43" s="17">
        <v>150</v>
      </c>
      <c r="R43" s="4">
        <f t="shared" si="2"/>
        <v>0.42857142857142855</v>
      </c>
      <c r="S43" s="3">
        <f t="shared" si="3"/>
        <v>280</v>
      </c>
    </row>
    <row r="44" spans="1:19" x14ac:dyDescent="0.2">
      <c r="A44" s="8" t="s">
        <v>146</v>
      </c>
      <c r="B44" s="8" t="s">
        <v>138</v>
      </c>
      <c r="C44" s="8" t="s">
        <v>149</v>
      </c>
      <c r="D44" s="9">
        <v>0</v>
      </c>
      <c r="E44" s="9">
        <v>50</v>
      </c>
      <c r="F44" s="9">
        <v>1</v>
      </c>
      <c r="G44" s="9">
        <v>0</v>
      </c>
      <c r="H44" s="17">
        <v>1</v>
      </c>
      <c r="I44" s="17">
        <v>-5</v>
      </c>
      <c r="J44" s="17">
        <v>0</v>
      </c>
      <c r="K44" s="17">
        <v>0</v>
      </c>
      <c r="L44" s="17">
        <v>1</v>
      </c>
      <c r="M44" s="17">
        <v>-10</v>
      </c>
      <c r="N44" s="17">
        <v>0</v>
      </c>
      <c r="O44" s="9">
        <v>30</v>
      </c>
      <c r="P44" s="17">
        <v>1</v>
      </c>
      <c r="Q44" s="17">
        <v>150</v>
      </c>
      <c r="R44" s="4">
        <f t="shared" si="2"/>
        <v>0.5714285714285714</v>
      </c>
      <c r="S44" s="3">
        <f t="shared" si="3"/>
        <v>215</v>
      </c>
    </row>
    <row r="45" spans="1:19" x14ac:dyDescent="0.2">
      <c r="A45" s="8" t="s">
        <v>136</v>
      </c>
      <c r="B45" s="8" t="s">
        <v>145</v>
      </c>
      <c r="C45" s="8" t="s">
        <v>149</v>
      </c>
      <c r="D45" s="9">
        <v>0</v>
      </c>
      <c r="E45" s="9">
        <v>50</v>
      </c>
      <c r="F45" s="9">
        <v>1</v>
      </c>
      <c r="G45" s="9">
        <v>0</v>
      </c>
      <c r="H45" s="17">
        <v>1</v>
      </c>
      <c r="I45" s="17">
        <v>-5</v>
      </c>
      <c r="J45" s="17">
        <v>0</v>
      </c>
      <c r="K45" s="17">
        <v>0</v>
      </c>
      <c r="L45" s="17">
        <v>1</v>
      </c>
      <c r="M45" s="17">
        <v>-10</v>
      </c>
      <c r="N45" s="17">
        <v>0</v>
      </c>
      <c r="O45" s="9">
        <v>30</v>
      </c>
      <c r="P45" s="17">
        <v>1</v>
      </c>
      <c r="Q45" s="17">
        <v>150</v>
      </c>
      <c r="R45" s="4">
        <f t="shared" si="2"/>
        <v>0.5714285714285714</v>
      </c>
      <c r="S45" s="3">
        <f t="shared" si="3"/>
        <v>215</v>
      </c>
    </row>
    <row r="46" spans="1:19" x14ac:dyDescent="0.2">
      <c r="A46" s="10" t="s">
        <v>147</v>
      </c>
      <c r="B46" s="10" t="s">
        <v>53</v>
      </c>
      <c r="C46" s="10" t="s">
        <v>149</v>
      </c>
      <c r="D46" s="11">
        <v>0</v>
      </c>
      <c r="E46" s="9">
        <v>50</v>
      </c>
      <c r="F46" s="9">
        <v>1</v>
      </c>
      <c r="G46" s="9">
        <v>0</v>
      </c>
      <c r="H46" s="19">
        <v>0</v>
      </c>
      <c r="I46" s="17">
        <v>-5</v>
      </c>
      <c r="J46" s="18">
        <v>0</v>
      </c>
      <c r="K46" s="17">
        <v>0</v>
      </c>
      <c r="L46" s="18">
        <v>1</v>
      </c>
      <c r="M46" s="17">
        <v>-10</v>
      </c>
      <c r="N46" s="18">
        <v>0</v>
      </c>
      <c r="O46" s="9">
        <v>30</v>
      </c>
      <c r="P46" s="17">
        <v>1</v>
      </c>
      <c r="Q46" s="17">
        <v>150</v>
      </c>
      <c r="R46" s="4">
        <f t="shared" si="2"/>
        <v>0.42857142857142855</v>
      </c>
      <c r="S46" s="12">
        <f t="shared" si="3"/>
        <v>215</v>
      </c>
    </row>
    <row r="47" spans="1:19" x14ac:dyDescent="0.2">
      <c r="A47" s="10" t="s">
        <v>148</v>
      </c>
      <c r="B47" s="10" t="s">
        <v>150</v>
      </c>
      <c r="C47" s="10" t="s">
        <v>149</v>
      </c>
      <c r="D47" s="11">
        <v>0</v>
      </c>
      <c r="E47" s="11">
        <v>50</v>
      </c>
      <c r="F47" s="9">
        <v>1</v>
      </c>
      <c r="G47" s="13">
        <v>0</v>
      </c>
      <c r="H47" s="18">
        <v>1</v>
      </c>
      <c r="I47" s="18">
        <v>-5</v>
      </c>
      <c r="J47" s="18">
        <v>0</v>
      </c>
      <c r="K47" s="17">
        <v>0</v>
      </c>
      <c r="L47" s="18">
        <v>1</v>
      </c>
      <c r="M47" s="17">
        <v>-10</v>
      </c>
      <c r="N47" s="18">
        <v>0</v>
      </c>
      <c r="O47" s="9">
        <v>30</v>
      </c>
      <c r="P47" s="17">
        <v>1</v>
      </c>
      <c r="Q47" s="17">
        <v>150</v>
      </c>
      <c r="R47" s="4">
        <f t="shared" si="2"/>
        <v>0.5714285714285714</v>
      </c>
      <c r="S47" s="12">
        <f t="shared" si="3"/>
        <v>215</v>
      </c>
    </row>
    <row r="48" spans="1:19" x14ac:dyDescent="0.2">
      <c r="A48" s="10" t="s">
        <v>45</v>
      </c>
      <c r="B48" s="10" t="s">
        <v>46</v>
      </c>
      <c r="C48" s="10" t="s">
        <v>47</v>
      </c>
      <c r="D48" s="11">
        <v>1</v>
      </c>
      <c r="E48" s="11">
        <v>50</v>
      </c>
      <c r="F48" s="9">
        <v>1</v>
      </c>
      <c r="G48" s="13">
        <v>0</v>
      </c>
      <c r="H48" s="13">
        <v>1</v>
      </c>
      <c r="I48" s="13">
        <v>100</v>
      </c>
      <c r="J48" s="13">
        <v>0</v>
      </c>
      <c r="K48" s="17">
        <v>0</v>
      </c>
      <c r="L48" s="13">
        <v>1</v>
      </c>
      <c r="M48" s="13">
        <v>120</v>
      </c>
      <c r="N48" s="13">
        <v>0</v>
      </c>
      <c r="O48" s="9">
        <v>100</v>
      </c>
      <c r="P48" s="17">
        <v>1</v>
      </c>
      <c r="Q48" s="13">
        <v>550</v>
      </c>
      <c r="R48" s="4">
        <f t="shared" si="2"/>
        <v>0.7142857142857143</v>
      </c>
      <c r="S48" s="12">
        <f t="shared" si="3"/>
        <v>920</v>
      </c>
    </row>
    <row r="49" spans="1:19" x14ac:dyDescent="0.2">
      <c r="A49" s="10" t="s">
        <v>48</v>
      </c>
      <c r="B49" s="10" t="s">
        <v>49</v>
      </c>
      <c r="C49" s="10" t="s">
        <v>47</v>
      </c>
      <c r="D49" s="11">
        <v>1</v>
      </c>
      <c r="E49" s="11">
        <v>50</v>
      </c>
      <c r="F49" s="9">
        <v>1</v>
      </c>
      <c r="G49" s="13">
        <v>0</v>
      </c>
      <c r="H49" s="13">
        <v>1</v>
      </c>
      <c r="I49" s="13">
        <v>100</v>
      </c>
      <c r="J49" s="13">
        <v>1</v>
      </c>
      <c r="K49" s="17">
        <v>0</v>
      </c>
      <c r="L49" s="13">
        <v>1</v>
      </c>
      <c r="M49" s="13">
        <v>120</v>
      </c>
      <c r="N49" s="13">
        <v>1</v>
      </c>
      <c r="O49" s="9">
        <v>100</v>
      </c>
      <c r="P49" s="17">
        <v>1</v>
      </c>
      <c r="Q49" s="13">
        <v>550</v>
      </c>
      <c r="R49" s="4">
        <f t="shared" si="2"/>
        <v>1</v>
      </c>
      <c r="S49" s="12">
        <f t="shared" si="3"/>
        <v>920</v>
      </c>
    </row>
    <row r="50" spans="1:19" x14ac:dyDescent="0.2">
      <c r="A50" s="10" t="s">
        <v>50</v>
      </c>
      <c r="B50" s="10" t="s">
        <v>51</v>
      </c>
      <c r="C50" s="10" t="s">
        <v>47</v>
      </c>
      <c r="D50" s="11">
        <v>1</v>
      </c>
      <c r="E50" s="11">
        <v>50</v>
      </c>
      <c r="F50" s="9">
        <v>1</v>
      </c>
      <c r="G50" s="13">
        <v>0</v>
      </c>
      <c r="H50" s="13">
        <v>1</v>
      </c>
      <c r="I50" s="13">
        <v>100</v>
      </c>
      <c r="J50" s="13">
        <v>1</v>
      </c>
      <c r="K50" s="17">
        <v>0</v>
      </c>
      <c r="L50" s="13">
        <v>1</v>
      </c>
      <c r="M50" s="13">
        <v>120</v>
      </c>
      <c r="N50" s="13">
        <v>1</v>
      </c>
      <c r="O50" s="9">
        <v>100</v>
      </c>
      <c r="P50" s="17">
        <v>1</v>
      </c>
      <c r="Q50" s="13">
        <v>550</v>
      </c>
      <c r="R50" s="4">
        <f t="shared" si="2"/>
        <v>1</v>
      </c>
      <c r="S50" s="12">
        <f t="shared" si="3"/>
        <v>920</v>
      </c>
    </row>
    <row r="51" spans="1:19" x14ac:dyDescent="0.2">
      <c r="A51" s="10" t="s">
        <v>54</v>
      </c>
      <c r="B51" s="10" t="s">
        <v>55</v>
      </c>
      <c r="C51" s="10" t="s">
        <v>47</v>
      </c>
      <c r="D51" s="11">
        <v>1</v>
      </c>
      <c r="E51" s="11">
        <v>50</v>
      </c>
      <c r="F51" s="9">
        <v>1</v>
      </c>
      <c r="G51" s="13">
        <v>0</v>
      </c>
      <c r="H51" s="13">
        <v>1</v>
      </c>
      <c r="I51" s="13">
        <v>100</v>
      </c>
      <c r="J51" s="13">
        <v>1</v>
      </c>
      <c r="K51" s="17">
        <v>0</v>
      </c>
      <c r="L51" s="13">
        <v>1</v>
      </c>
      <c r="M51" s="13">
        <v>120</v>
      </c>
      <c r="N51" s="13">
        <v>1</v>
      </c>
      <c r="O51" s="9">
        <v>100</v>
      </c>
      <c r="P51" s="17">
        <v>1</v>
      </c>
      <c r="Q51" s="13">
        <v>550</v>
      </c>
      <c r="R51" s="4">
        <f t="shared" si="2"/>
        <v>1</v>
      </c>
      <c r="S51" s="14">
        <f t="shared" si="3"/>
        <v>920</v>
      </c>
    </row>
    <row r="52" spans="1:19" x14ac:dyDescent="0.2">
      <c r="A52" s="10" t="s">
        <v>83</v>
      </c>
      <c r="B52" s="10" t="s">
        <v>84</v>
      </c>
      <c r="C52" s="10" t="s">
        <v>47</v>
      </c>
      <c r="D52" s="11">
        <v>1</v>
      </c>
      <c r="E52" s="11">
        <v>50</v>
      </c>
      <c r="F52" s="9">
        <v>1</v>
      </c>
      <c r="G52" s="13">
        <v>0</v>
      </c>
      <c r="H52" s="13">
        <v>1</v>
      </c>
      <c r="I52" s="13">
        <v>100</v>
      </c>
      <c r="J52" s="13">
        <v>0</v>
      </c>
      <c r="K52" s="17">
        <v>0</v>
      </c>
      <c r="L52" s="13">
        <v>0</v>
      </c>
      <c r="M52" s="13">
        <v>120</v>
      </c>
      <c r="N52" s="13">
        <v>1</v>
      </c>
      <c r="O52" s="9">
        <v>100</v>
      </c>
      <c r="P52" s="17">
        <v>1</v>
      </c>
      <c r="Q52" s="13">
        <v>550</v>
      </c>
      <c r="R52" s="4">
        <f t="shared" si="2"/>
        <v>0.7142857142857143</v>
      </c>
      <c r="S52" s="14">
        <f t="shared" si="3"/>
        <v>920</v>
      </c>
    </row>
    <row r="53" spans="1:19" x14ac:dyDescent="0.2">
      <c r="A53" s="10" t="s">
        <v>99</v>
      </c>
      <c r="B53" s="10" t="s">
        <v>100</v>
      </c>
      <c r="C53" s="10" t="s">
        <v>47</v>
      </c>
      <c r="D53" s="11">
        <v>1</v>
      </c>
      <c r="E53" s="11">
        <v>50</v>
      </c>
      <c r="F53" s="9">
        <v>1</v>
      </c>
      <c r="G53" s="13">
        <v>0</v>
      </c>
      <c r="H53" s="13">
        <v>1</v>
      </c>
      <c r="I53" s="13">
        <v>100</v>
      </c>
      <c r="J53" s="13">
        <v>1</v>
      </c>
      <c r="K53" s="17">
        <v>0</v>
      </c>
      <c r="L53" s="13">
        <v>1</v>
      </c>
      <c r="M53" s="13">
        <v>120</v>
      </c>
      <c r="N53" s="13">
        <v>1</v>
      </c>
      <c r="O53" s="9">
        <v>100</v>
      </c>
      <c r="P53" s="17">
        <v>1</v>
      </c>
      <c r="Q53" s="13">
        <v>550</v>
      </c>
      <c r="R53" s="4">
        <f t="shared" si="2"/>
        <v>1</v>
      </c>
      <c r="S53" s="14">
        <f t="shared" si="3"/>
        <v>920</v>
      </c>
    </row>
    <row r="54" spans="1:19" x14ac:dyDescent="0.2">
      <c r="A54" s="10" t="s">
        <v>104</v>
      </c>
      <c r="B54" s="10" t="s">
        <v>105</v>
      </c>
      <c r="C54" s="10" t="s">
        <v>47</v>
      </c>
      <c r="D54" s="11">
        <v>1</v>
      </c>
      <c r="E54" s="11">
        <v>50</v>
      </c>
      <c r="F54" s="9">
        <v>1</v>
      </c>
      <c r="G54" s="13">
        <v>0</v>
      </c>
      <c r="H54" s="13">
        <v>1</v>
      </c>
      <c r="I54" s="13">
        <v>100</v>
      </c>
      <c r="J54" s="13">
        <v>1</v>
      </c>
      <c r="K54" s="17">
        <v>0</v>
      </c>
      <c r="L54" s="13">
        <v>1</v>
      </c>
      <c r="M54" s="13">
        <v>120</v>
      </c>
      <c r="N54" s="13">
        <v>1</v>
      </c>
      <c r="O54" s="9">
        <v>100</v>
      </c>
      <c r="P54" s="17">
        <v>1</v>
      </c>
      <c r="Q54" s="13">
        <v>550</v>
      </c>
      <c r="R54" s="4">
        <f t="shared" si="2"/>
        <v>1</v>
      </c>
      <c r="S54" s="14">
        <f t="shared" si="3"/>
        <v>920</v>
      </c>
    </row>
    <row r="55" spans="1:19" x14ac:dyDescent="0.2">
      <c r="A55" s="10" t="s">
        <v>26</v>
      </c>
      <c r="B55" s="10" t="s">
        <v>27</v>
      </c>
      <c r="C55" s="10" t="s">
        <v>28</v>
      </c>
      <c r="D55" s="11">
        <v>1</v>
      </c>
      <c r="E55" s="11">
        <v>50</v>
      </c>
      <c r="F55" s="9">
        <v>1</v>
      </c>
      <c r="G55" s="13">
        <v>15</v>
      </c>
      <c r="H55" s="13">
        <v>1</v>
      </c>
      <c r="I55" s="13">
        <v>0</v>
      </c>
      <c r="J55" s="13">
        <v>1</v>
      </c>
      <c r="K55" s="17">
        <v>0</v>
      </c>
      <c r="L55" s="13">
        <v>1</v>
      </c>
      <c r="M55" s="13">
        <v>50</v>
      </c>
      <c r="N55" s="13">
        <v>1</v>
      </c>
      <c r="O55" s="9">
        <v>100</v>
      </c>
      <c r="P55" s="17">
        <v>1</v>
      </c>
      <c r="Q55" s="13">
        <v>150</v>
      </c>
      <c r="R55" s="4">
        <f t="shared" si="2"/>
        <v>1</v>
      </c>
      <c r="S55" s="14">
        <f t="shared" si="3"/>
        <v>365</v>
      </c>
    </row>
    <row r="56" spans="1:19" x14ac:dyDescent="0.2">
      <c r="A56" s="10" t="s">
        <v>52</v>
      </c>
      <c r="B56" s="10" t="s">
        <v>53</v>
      </c>
      <c r="C56" s="10" t="s">
        <v>28</v>
      </c>
      <c r="D56" s="11">
        <v>1</v>
      </c>
      <c r="E56" s="11">
        <v>50</v>
      </c>
      <c r="F56" s="9">
        <v>1</v>
      </c>
      <c r="G56" s="13">
        <v>15</v>
      </c>
      <c r="H56" s="13">
        <v>0</v>
      </c>
      <c r="I56" s="13">
        <v>0</v>
      </c>
      <c r="J56" s="13">
        <v>0</v>
      </c>
      <c r="K56" s="17">
        <v>0</v>
      </c>
      <c r="L56" s="13">
        <v>0</v>
      </c>
      <c r="M56" s="13">
        <v>50</v>
      </c>
      <c r="N56" s="13">
        <v>1</v>
      </c>
      <c r="O56" s="9">
        <v>100</v>
      </c>
      <c r="P56" s="17">
        <v>1</v>
      </c>
      <c r="Q56" s="13">
        <v>150</v>
      </c>
      <c r="R56" s="4">
        <f t="shared" si="2"/>
        <v>0.5714285714285714</v>
      </c>
      <c r="S56" s="14">
        <f t="shared" si="3"/>
        <v>365</v>
      </c>
    </row>
    <row r="57" spans="1:19" x14ac:dyDescent="0.2">
      <c r="A57" s="10" t="s">
        <v>108</v>
      </c>
      <c r="B57" s="10" t="s">
        <v>109</v>
      </c>
      <c r="C57" s="10" t="s">
        <v>28</v>
      </c>
      <c r="D57" s="11">
        <v>1</v>
      </c>
      <c r="E57" s="11">
        <v>50</v>
      </c>
      <c r="F57" s="9">
        <v>1</v>
      </c>
      <c r="G57" s="13">
        <v>15</v>
      </c>
      <c r="H57" s="13">
        <v>0</v>
      </c>
      <c r="I57" s="13">
        <v>0</v>
      </c>
      <c r="J57" s="13">
        <v>1</v>
      </c>
      <c r="K57" s="17">
        <v>0</v>
      </c>
      <c r="L57" s="13">
        <v>0</v>
      </c>
      <c r="M57" s="13">
        <v>50</v>
      </c>
      <c r="N57" s="13">
        <v>0</v>
      </c>
      <c r="O57" s="9">
        <v>100</v>
      </c>
      <c r="P57" s="17">
        <v>1</v>
      </c>
      <c r="Q57" s="13">
        <v>150</v>
      </c>
      <c r="R57" s="4">
        <f t="shared" si="2"/>
        <v>0.5714285714285714</v>
      </c>
      <c r="S57" s="14">
        <f t="shared" si="3"/>
        <v>365</v>
      </c>
    </row>
    <row r="58" spans="1:19" x14ac:dyDescent="0.2">
      <c r="A58" s="10" t="s">
        <v>56</v>
      </c>
      <c r="B58" s="10" t="s">
        <v>57</v>
      </c>
      <c r="C58" s="10" t="s">
        <v>28</v>
      </c>
      <c r="D58" s="11">
        <v>1</v>
      </c>
      <c r="E58" s="11">
        <v>50</v>
      </c>
      <c r="F58" s="9">
        <v>1</v>
      </c>
      <c r="G58" s="13">
        <v>15</v>
      </c>
      <c r="H58" s="13">
        <v>1</v>
      </c>
      <c r="I58" s="13">
        <v>0</v>
      </c>
      <c r="J58" s="13">
        <v>1</v>
      </c>
      <c r="K58" s="17">
        <v>0</v>
      </c>
      <c r="L58" s="13">
        <v>1</v>
      </c>
      <c r="M58" s="13">
        <v>50</v>
      </c>
      <c r="N58" s="13">
        <v>1</v>
      </c>
      <c r="O58" s="9">
        <v>100</v>
      </c>
      <c r="P58" s="17">
        <v>1</v>
      </c>
      <c r="Q58" s="13">
        <v>150</v>
      </c>
      <c r="R58" s="4">
        <f t="shared" si="2"/>
        <v>1</v>
      </c>
      <c r="S58" s="14">
        <f t="shared" si="3"/>
        <v>365</v>
      </c>
    </row>
    <row r="59" spans="1:19" x14ac:dyDescent="0.2">
      <c r="A59" s="10" t="s">
        <v>60</v>
      </c>
      <c r="B59" s="10" t="s">
        <v>61</v>
      </c>
      <c r="C59" s="10" t="s">
        <v>28</v>
      </c>
      <c r="D59" s="11">
        <v>1</v>
      </c>
      <c r="E59" s="11">
        <v>50</v>
      </c>
      <c r="F59" s="9">
        <v>1</v>
      </c>
      <c r="G59" s="13">
        <v>15</v>
      </c>
      <c r="H59" s="13">
        <v>1</v>
      </c>
      <c r="I59" s="13">
        <v>0</v>
      </c>
      <c r="J59" s="13">
        <v>1</v>
      </c>
      <c r="K59" s="17">
        <v>0</v>
      </c>
      <c r="L59" s="13">
        <v>1</v>
      </c>
      <c r="M59" s="13">
        <v>50</v>
      </c>
      <c r="N59" s="13">
        <v>0</v>
      </c>
      <c r="O59" s="9">
        <v>100</v>
      </c>
      <c r="P59" s="17">
        <v>1</v>
      </c>
      <c r="Q59" s="13">
        <v>150</v>
      </c>
      <c r="R59" s="4">
        <f t="shared" si="2"/>
        <v>0.8571428571428571</v>
      </c>
      <c r="S59" s="14">
        <f t="shared" si="3"/>
        <v>365</v>
      </c>
    </row>
    <row r="60" spans="1:19" x14ac:dyDescent="0.2">
      <c r="A60" s="10" t="s">
        <v>67</v>
      </c>
      <c r="B60" s="10" t="s">
        <v>68</v>
      </c>
      <c r="C60" s="10" t="s">
        <v>28</v>
      </c>
      <c r="D60" s="11">
        <v>1</v>
      </c>
      <c r="E60" s="11">
        <v>50</v>
      </c>
      <c r="F60" s="11">
        <v>1</v>
      </c>
      <c r="G60" s="13">
        <v>15</v>
      </c>
      <c r="H60" s="13">
        <v>1</v>
      </c>
      <c r="I60" s="13">
        <v>0</v>
      </c>
      <c r="J60" s="13">
        <v>1</v>
      </c>
      <c r="K60" s="17">
        <v>0</v>
      </c>
      <c r="L60" s="13">
        <v>0</v>
      </c>
      <c r="M60" s="13">
        <v>50</v>
      </c>
      <c r="N60" s="13">
        <v>1</v>
      </c>
      <c r="O60" s="9">
        <v>100</v>
      </c>
      <c r="P60" s="17">
        <v>1</v>
      </c>
      <c r="Q60" s="13">
        <v>150</v>
      </c>
      <c r="R60" s="16">
        <f t="shared" si="2"/>
        <v>0.8571428571428571</v>
      </c>
      <c r="S60" s="14">
        <f t="shared" si="3"/>
        <v>365</v>
      </c>
    </row>
    <row r="61" spans="1:19" x14ac:dyDescent="0.2">
      <c r="A61" s="10" t="s">
        <v>73</v>
      </c>
      <c r="B61" s="10" t="s">
        <v>74</v>
      </c>
      <c r="C61" s="10" t="s">
        <v>28</v>
      </c>
      <c r="D61" s="11">
        <v>1</v>
      </c>
      <c r="E61" s="11">
        <v>50</v>
      </c>
      <c r="F61" s="11">
        <v>1</v>
      </c>
      <c r="G61" s="13">
        <v>15</v>
      </c>
      <c r="H61" s="13">
        <v>1</v>
      </c>
      <c r="I61" s="13">
        <v>0</v>
      </c>
      <c r="J61" s="13">
        <v>1</v>
      </c>
      <c r="K61" s="17">
        <v>0</v>
      </c>
      <c r="L61" s="13">
        <v>1</v>
      </c>
      <c r="M61" s="13">
        <v>50</v>
      </c>
      <c r="N61" s="13">
        <v>0</v>
      </c>
      <c r="O61" s="9">
        <v>100</v>
      </c>
      <c r="P61" s="17">
        <v>1</v>
      </c>
      <c r="Q61" s="13">
        <v>150</v>
      </c>
      <c r="R61" s="16">
        <f t="shared" si="2"/>
        <v>0.8571428571428571</v>
      </c>
      <c r="S61" s="14">
        <f t="shared" si="3"/>
        <v>365</v>
      </c>
    </row>
    <row r="62" spans="1:19" x14ac:dyDescent="0.2">
      <c r="A62" s="10" t="s">
        <v>87</v>
      </c>
      <c r="B62" s="10" t="s">
        <v>88</v>
      </c>
      <c r="C62" s="10" t="s">
        <v>28</v>
      </c>
      <c r="D62" s="11">
        <v>1</v>
      </c>
      <c r="E62" s="11">
        <v>50</v>
      </c>
      <c r="F62" s="11">
        <v>1</v>
      </c>
      <c r="G62" s="13">
        <v>15</v>
      </c>
      <c r="H62" s="13">
        <v>1</v>
      </c>
      <c r="I62" s="13">
        <v>0</v>
      </c>
      <c r="J62" s="13">
        <v>1</v>
      </c>
      <c r="K62" s="17">
        <v>0</v>
      </c>
      <c r="L62" s="13">
        <v>1</v>
      </c>
      <c r="M62" s="13">
        <v>50</v>
      </c>
      <c r="N62" s="13">
        <v>0</v>
      </c>
      <c r="O62" s="9">
        <v>100</v>
      </c>
      <c r="P62" s="17">
        <v>1</v>
      </c>
      <c r="Q62" s="13">
        <v>150</v>
      </c>
      <c r="R62" s="16">
        <f t="shared" si="2"/>
        <v>0.8571428571428571</v>
      </c>
      <c r="S62" s="14">
        <f t="shared" si="3"/>
        <v>365</v>
      </c>
    </row>
    <row r="63" spans="1:19" x14ac:dyDescent="0.2">
      <c r="A63" s="10" t="s">
        <v>95</v>
      </c>
      <c r="B63" s="10" t="s">
        <v>96</v>
      </c>
      <c r="C63" s="10" t="s">
        <v>28</v>
      </c>
      <c r="D63" s="11">
        <v>1</v>
      </c>
      <c r="E63" s="11">
        <v>50</v>
      </c>
      <c r="F63" s="11">
        <v>1</v>
      </c>
      <c r="G63" s="13">
        <v>15</v>
      </c>
      <c r="H63" s="13">
        <v>1</v>
      </c>
      <c r="I63" s="13">
        <v>0</v>
      </c>
      <c r="J63" s="13">
        <v>1</v>
      </c>
      <c r="K63" s="17">
        <v>0</v>
      </c>
      <c r="L63" s="13">
        <v>1</v>
      </c>
      <c r="M63" s="13">
        <v>50</v>
      </c>
      <c r="N63" s="13">
        <v>0</v>
      </c>
      <c r="O63" s="9">
        <v>100</v>
      </c>
      <c r="P63" s="17">
        <v>1</v>
      </c>
      <c r="Q63" s="13">
        <v>150</v>
      </c>
      <c r="R63" s="16">
        <f t="shared" si="2"/>
        <v>0.8571428571428571</v>
      </c>
      <c r="S63" s="14">
        <f t="shared" si="3"/>
        <v>365</v>
      </c>
    </row>
    <row r="64" spans="1:19" x14ac:dyDescent="0.2">
      <c r="A64" s="10" t="s">
        <v>103</v>
      </c>
      <c r="B64" s="10" t="s">
        <v>86</v>
      </c>
      <c r="C64" s="10" t="s">
        <v>28</v>
      </c>
      <c r="D64" s="11">
        <v>1</v>
      </c>
      <c r="E64" s="13">
        <v>50</v>
      </c>
      <c r="F64" s="11">
        <v>1</v>
      </c>
      <c r="G64" s="13">
        <v>15</v>
      </c>
      <c r="H64" s="13">
        <v>1</v>
      </c>
      <c r="I64" s="13">
        <v>0</v>
      </c>
      <c r="J64" s="13">
        <v>1</v>
      </c>
      <c r="K64" s="18">
        <v>0</v>
      </c>
      <c r="L64" s="13">
        <v>0</v>
      </c>
      <c r="M64" s="13">
        <v>50</v>
      </c>
      <c r="N64" s="13">
        <v>1</v>
      </c>
      <c r="O64" s="9">
        <v>100</v>
      </c>
      <c r="P64" s="17">
        <v>1</v>
      </c>
      <c r="Q64" s="13">
        <v>150</v>
      </c>
      <c r="R64" s="16">
        <f t="shared" si="2"/>
        <v>0.8571428571428571</v>
      </c>
      <c r="S64" s="14">
        <f t="shared" si="3"/>
        <v>365</v>
      </c>
    </row>
  </sheetData>
  <autoFilter ref="F1:F59" xr:uid="{00000000-0001-0000-0000-000000000000}"/>
  <sortState xmlns:xlrd2="http://schemas.microsoft.com/office/spreadsheetml/2017/richdata2" ref="A3:S64">
    <sortCondition ref="C2:C64"/>
  </sortState>
  <mergeCells count="9">
    <mergeCell ref="P1:Q1"/>
    <mergeCell ref="F1:G1"/>
    <mergeCell ref="R1:S1"/>
    <mergeCell ref="N1:O1"/>
    <mergeCell ref="A1:C1"/>
    <mergeCell ref="D1:E1"/>
    <mergeCell ref="H1:I1"/>
    <mergeCell ref="L1:M1"/>
    <mergeCell ref="J1:K1"/>
  </mergeCells>
  <phoneticPr fontId="6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53C9-3F5D-9F42-B702-C982D2131A8F}">
  <dimension ref="A3:C12"/>
  <sheetViews>
    <sheetView tabSelected="1" zoomScale="150" workbookViewId="0">
      <selection activeCell="B8" sqref="B8"/>
    </sheetView>
  </sheetViews>
  <sheetFormatPr baseColWidth="10" defaultRowHeight="15" x14ac:dyDescent="0.2"/>
  <cols>
    <col min="1" max="1" width="22.33203125" bestFit="1" customWidth="1"/>
    <col min="2" max="2" width="12.1640625" bestFit="1" customWidth="1"/>
    <col min="3" max="3" width="15.5" bestFit="1" customWidth="1"/>
  </cols>
  <sheetData>
    <row r="3" spans="1:3" x14ac:dyDescent="0.2">
      <c r="A3" s="5" t="s">
        <v>116</v>
      </c>
      <c r="B3" t="s">
        <v>118</v>
      </c>
      <c r="C3" t="s">
        <v>119</v>
      </c>
    </row>
    <row r="4" spans="1:3" x14ac:dyDescent="0.2">
      <c r="A4" s="6" t="s">
        <v>47</v>
      </c>
      <c r="B4" s="26">
        <v>920</v>
      </c>
      <c r="C4" s="7">
        <v>0.91836734693877553</v>
      </c>
    </row>
    <row r="5" spans="1:3" x14ac:dyDescent="0.2">
      <c r="A5" s="6" t="s">
        <v>123</v>
      </c>
      <c r="B5" s="26">
        <v>845</v>
      </c>
      <c r="C5" s="7">
        <v>0.875</v>
      </c>
    </row>
    <row r="6" spans="1:3" x14ac:dyDescent="0.2">
      <c r="A6" s="6" t="s">
        <v>31</v>
      </c>
      <c r="B6" s="26">
        <v>435</v>
      </c>
      <c r="C6" s="7">
        <v>0.9</v>
      </c>
    </row>
    <row r="7" spans="1:3" x14ac:dyDescent="0.2">
      <c r="A7" s="6" t="s">
        <v>28</v>
      </c>
      <c r="B7" s="26">
        <v>365</v>
      </c>
      <c r="C7" s="7">
        <v>0.82539682539682524</v>
      </c>
    </row>
    <row r="8" spans="1:3" x14ac:dyDescent="0.2">
      <c r="A8" s="6" t="s">
        <v>36</v>
      </c>
      <c r="B8" s="26">
        <v>280</v>
      </c>
      <c r="C8" s="7">
        <v>0.7</v>
      </c>
    </row>
    <row r="9" spans="1:3" x14ac:dyDescent="0.2">
      <c r="A9" s="6" t="s">
        <v>149</v>
      </c>
      <c r="B9" s="26">
        <v>215</v>
      </c>
      <c r="C9" s="7">
        <v>0.5357142857142857</v>
      </c>
    </row>
    <row r="10" spans="1:3" x14ac:dyDescent="0.2">
      <c r="A10" s="6" t="s">
        <v>66</v>
      </c>
      <c r="B10" s="26">
        <v>175</v>
      </c>
      <c r="C10" s="7">
        <v>0.57142857142857129</v>
      </c>
    </row>
    <row r="11" spans="1:3" x14ac:dyDescent="0.2">
      <c r="A11" s="6" t="s">
        <v>135</v>
      </c>
      <c r="B11" s="26">
        <v>25</v>
      </c>
      <c r="C11" s="7">
        <v>0.48979591836734698</v>
      </c>
    </row>
    <row r="12" spans="1:3" x14ac:dyDescent="0.2">
      <c r="A12" s="6" t="s">
        <v>117</v>
      </c>
      <c r="B12" s="26">
        <v>421.63934426229508</v>
      </c>
      <c r="C12" s="7">
        <v>0.75175644028103039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Registro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Giovanbattista Califano</cp:lastModifiedBy>
  <dcterms:created xsi:type="dcterms:W3CDTF">2026-03-21T11:15:18Z</dcterms:created>
  <dcterms:modified xsi:type="dcterms:W3CDTF">2026-05-18T14:39:00Z</dcterms:modified>
</cp:coreProperties>
</file>